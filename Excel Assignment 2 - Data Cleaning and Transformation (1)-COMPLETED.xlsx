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/>
  <mc:AlternateContent xmlns:mc="http://schemas.openxmlformats.org/markup-compatibility/2006">
    <mc:Choice Requires="x15">
      <x15ac:absPath xmlns:x15ac="http://schemas.microsoft.com/office/spreadsheetml/2010/11/ac" url="D:\DATAANALYTICS\EXCEL\ASSIGNMENT\COMPLETED\"/>
    </mc:Choice>
  </mc:AlternateContent>
  <xr:revisionPtr revIDLastSave="0" documentId="10_ncr:8100000_{A0EF4E38-AE7C-44CD-8C5C-4C8E890C933F}" xr6:coauthVersionLast="34" xr6:coauthVersionMax="34" xr10:uidLastSave="{00000000-0000-0000-0000-000000000000}"/>
  <bookViews>
    <workbookView xWindow="0" yWindow="0" windowWidth="20490" windowHeight="8340" activeTab="1" xr2:uid="{00000000-000D-0000-FFFF-FFFF00000000}"/>
  </bookViews>
  <sheets>
    <sheet name="Instructions" sheetId="1" r:id="rId1"/>
    <sheet name="Dataset" sheetId="2" r:id="rId2"/>
  </sheets>
  <calcPr calcId="162913"/>
  <extLs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N3" i="2" l="1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2" i="2"/>
  <c r="J5" i="2"/>
  <c r="J2" i="2"/>
  <c r="J3" i="2"/>
  <c r="J4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2" i="2"/>
  <c r="I15" i="2"/>
  <c r="I3" i="2"/>
  <c r="I4" i="2"/>
  <c r="I5" i="2"/>
  <c r="I6" i="2"/>
  <c r="I7" i="2"/>
  <c r="I8" i="2"/>
  <c r="I9" i="2"/>
  <c r="I10" i="2"/>
  <c r="I11" i="2"/>
  <c r="I12" i="2"/>
  <c r="I13" i="2"/>
  <c r="I14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2" i="2"/>
  <c r="H3" i="2" l="1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2" i="2"/>
</calcChain>
</file>

<file path=xl/sharedStrings.xml><?xml version="1.0" encoding="utf-8"?>
<sst xmlns="http://schemas.openxmlformats.org/spreadsheetml/2006/main" count="151" uniqueCount="118">
  <si>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</si>
  <si>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</si>
  <si>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</si>
  <si>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</si>
  <si>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</si>
  <si>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</si>
  <si>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</si>
  <si>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</si>
  <si>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</si>
  <si>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</si>
  <si>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</si>
  <si>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</si>
  <si>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</si>
  <si>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</si>
  <si>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</si>
  <si>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</si>
  <si>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</si>
  <si>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</si>
  <si>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</si>
  <si>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</si>
  <si>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</si>
  <si>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</si>
  <si>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</si>
  <si>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</si>
  <si>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</si>
  <si>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</si>
  <si>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</si>
  <si>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</si>
  <si>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</si>
  <si>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</si>
  <si>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</si>
  <si>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</si>
  <si>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</si>
  <si>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</si>
  <si>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</si>
  <si>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</si>
  <si>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</si>
  <si>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Samsung</t>
  </si>
  <si>
    <t>22-MAY-US</t>
  </si>
  <si>
    <t>Backpack</t>
  </si>
  <si>
    <t>North Face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</si>
  <si>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</si>
  <si>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</si>
  <si>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</si>
  <si>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</si>
  <si>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</si>
  <si>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</si>
  <si>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</si>
  <si>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</si>
  <si>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</si>
  <si>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</si>
  <si>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</si>
  <si>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</si>
  <si>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</si>
  <si>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</si>
  <si>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</si>
  <si>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</si>
  <si>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</si>
  <si>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</si>
  <si>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</si>
  <si>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</si>
  <si>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</si>
  <si>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</si>
  <si>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</si>
  <si>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</si>
  <si>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</si>
  <si>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</si>
  <si>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</si>
  <si>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</si>
  <si>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</si>
  <si>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</si>
  <si>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</si>
  <si>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</si>
  <si>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</si>
  <si>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</si>
  <si>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</si>
  <si>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</si>
  <si>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</si>
  <si>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</si>
  <si>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</si>
  <si>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</si>
  <si>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</si>
  <si>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</si>
  <si>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</si>
  <si>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</si>
  <si>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</si>
  <si>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</si>
  <si>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</si>
  <si>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</si>
  <si>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</si>
  <si>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</si>
  <si>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</si>
  <si>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</si>
  <si>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</si>
  <si>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</si>
  <si>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</si>
  <si>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</si>
  <si>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</si>
  <si>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</si>
  <si>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</si>
  <si>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</si>
  <si>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</si>
  <si>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</si>
  <si>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</si>
  <si>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</si>
  <si>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</si>
  <si>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</si>
  <si>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</si>
  <si>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</si>
  <si>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</si>
  <si>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</si>
  <si>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</si>
  <si>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</si>
  <si>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Price</t>
  </si>
  <si>
    <t>Manufecture date</t>
  </si>
  <si>
    <t>Country Code</t>
  </si>
  <si>
    <t xml:space="preserve">Product Brand </t>
  </si>
  <si>
    <t>Date Formate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</si>
</sst>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m/d;@"/>
  </numFmts>
  <fonts count="8" x14ac:knownFonts="1">
    <font>
      <sz val="10"/>
      <color rgb="FF000000"/>
      <name val="Arial"/>
      <scheme val="minor"/>
    </font>
    <font>
      <b/>
      <sz val="11"/>
      <color theme="1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Times New Roman"/>
      <family val="1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 applyAlignment="1"/>
    <xf numFmtId="0" fontId="5" fillId="0" borderId="0" xfId="0" applyFont="1" applyAlignment="1"/>
    <xf numFmtId="0" fontId="3" fillId="0" borderId="0" xfId="0" applyFont="1" applyAlignment="1"/>
    <xf numFmtId="0" fontId="6" fillId="0" borderId="0" xfId="0" applyFont="1" applyAlignment="1"/>
    <xf numFmtId="0" fontId="7" fillId="2" borderId="0" xfId="0" applyFont="1" applyFill="1" applyAlignment="1">
      <alignment horizontal="center"/>
    </xf>
    <xf numFmtId="0" fontId="5" fillId="0" borderId="0" xfId="0" applyFont="1"/>
    <xf numFmtId="0" fontId="5" fillId="3" borderId="0" xfId="0" applyFont="1" applyFill="1"/>
    <xf numFmtId="164" fontId="7" fillId="2" borderId="0" xfId="0" applyNumberFormat="1" applyFont="1" applyFill="1" applyAlignment="1">
      <alignment horizontal="center"/>
    </xf>
    <xf numFmtId="164" fontId="0" fillId="0" borderId="0" xfId="0" applyNumberFormat="1" applyFont="1" applyAlignment="1"/>
    <xf numFmtId="165" fontId="0" fillId="0" borderId="0" xfId="0" applyNumberFormat="1" applyFont="1" applyAlignment="1"/>
    <xf numFmtId="0" fontId="7" fillId="2" borderId="0" xfId="0" applyFont="1" applyFill="1" applyAlignment="1">
      <alignment horizontal="left"/>
    </xf>
    <xf numFmtId="15" fontId="5" fillId="0" borderId="0" xfId="0" applyNumberFormat="1" applyFont="1" applyAlignment="1">
      <alignment horizontal="left"/>
    </xf>
    <xf numFmtId="15" fontId="5" fillId="3" borderId="0" xfId="0" applyNumberFormat="1" applyFont="1" applyFill="1" applyAlignment="1">
      <alignment horizontal="left"/>
    </xf>
    <xf numFmtId="0" fontId="0" fillId="0" borderId="0" xfId="0" applyFont="1" applyAlignment="1">
      <alignment horizontal="left"/>
    </xf>
  </cellXfs>
  <cellStyles count="1">
    <cellStyle name="Normal" xfId="0" builtinId="0"/>
  </cellStyles>
  <dxfs count="1">
    <dxf>
      <fill>
        <patternFill>
          <bgColor theme="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topLeftCell="A7" workbookViewId="0">
      <selection activeCell="C25" sqref="C25"/>
    </sheetView>
  </sheetViews>
  <sheetFormatPr defaultColWidth="12.5703125" defaultRowHeight="15" customHeight="1" x14ac:dyDescent="0.2"/>
  <cols>
    <col min="1" max="1" width="12.5703125" customWidth="1"/>
    <col min="2" max="2" width="7.42578125" customWidth="1"/>
    <col min="3" max="3" width="138.5703125" bestFit="1" customWidth="1"/>
    <col min="4" max="6" width="12.5703125" customWidth="1"/>
  </cols>
  <sheetData>
    <row r="1" spans="1:11" ht="15.75" customHeight="1" x14ac:dyDescent="0.25">
      <c r="A1" s="1" t="s">
        <v>0</v>
      </c>
    </row>
    <row r="2" spans="1:11" ht="15.75" customHeight="1" x14ac:dyDescent="0.2"/>
    <row r="3" spans="1:11" ht="15.75" customHeight="1" x14ac:dyDescent="0.25">
      <c r="B3" s="2" t="s">
        <v>1</v>
      </c>
    </row>
    <row r="4" spans="1:11" ht="15.75" customHeight="1" x14ac:dyDescent="0.25">
      <c r="C4" s="3" t="s">
        <v>2</v>
      </c>
    </row>
    <row r="5" spans="1:11" ht="15.75" customHeight="1" x14ac:dyDescent="0.25">
      <c r="B5" s="4"/>
      <c r="C5" s="3" t="s">
        <v>3</v>
      </c>
    </row>
    <row r="6" spans="1:11" ht="15.75" customHeight="1" x14ac:dyDescent="0.25">
      <c r="B6" s="4"/>
    </row>
    <row r="7" spans="1:11" ht="15.75" customHeight="1" x14ac:dyDescent="0.25">
      <c r="B7" s="2" t="s">
        <v>4</v>
      </c>
    </row>
    <row r="8" spans="1:11" ht="15.75" customHeight="1" x14ac:dyDescent="0.25">
      <c r="C8" s="3" t="s">
        <v>5</v>
      </c>
    </row>
    <row r="9" spans="1:11" ht="15.75" customHeight="1" x14ac:dyDescent="0.25">
      <c r="C9" s="3" t="s">
        <v>6</v>
      </c>
    </row>
    <row r="10" spans="1:11" ht="15.75" customHeight="1" x14ac:dyDescent="0.25">
      <c r="C10" s="3" t="s">
        <v>7</v>
      </c>
    </row>
    <row r="11" spans="1:11" ht="15.75" customHeight="1" x14ac:dyDescent="0.25">
      <c r="B11" s="4"/>
    </row>
    <row r="12" spans="1:11" ht="15.75" customHeight="1" x14ac:dyDescent="0.25">
      <c r="B12" s="2" t="s">
        <v>8</v>
      </c>
    </row>
    <row r="13" spans="1:11" ht="15.75" customHeight="1" x14ac:dyDescent="0.25">
      <c r="B13" s="2"/>
      <c r="C13" s="3" t="s">
        <v>9</v>
      </c>
    </row>
    <row r="14" spans="1:11" ht="15.75" customHeight="1" x14ac:dyDescent="0.2"/>
    <row r="15" spans="1:11" ht="15.75" customHeight="1" x14ac:dyDescent="0.25">
      <c r="B15" s="5" t="s">
        <v>10</v>
      </c>
      <c r="C15" s="6"/>
      <c r="D15" s="6"/>
      <c r="E15" s="6"/>
      <c r="F15" s="6"/>
      <c r="G15" s="6"/>
      <c r="H15" s="6"/>
      <c r="I15" s="6"/>
      <c r="J15" s="6"/>
      <c r="K15" s="6"/>
    </row>
    <row r="16" spans="1:11" ht="15.75" customHeight="1" x14ac:dyDescent="0.25">
      <c r="B16" s="6"/>
      <c r="C16" s="7" t="s">
        <v>11</v>
      </c>
      <c r="D16" s="6"/>
      <c r="E16" s="6"/>
      <c r="F16" s="6"/>
      <c r="G16" s="6"/>
      <c r="H16" s="6"/>
      <c r="I16" s="6"/>
      <c r="J16" s="6"/>
      <c r="K16" s="6"/>
    </row>
    <row r="17" spans="2:11" ht="15.75" customHeight="1" x14ac:dyDescent="0.25">
      <c r="B17" s="6"/>
      <c r="C17" s="7" t="s">
        <v>12</v>
      </c>
      <c r="D17" s="6"/>
      <c r="E17" s="6"/>
      <c r="F17" s="6"/>
      <c r="G17" s="6"/>
      <c r="H17" s="6"/>
      <c r="I17" s="6"/>
      <c r="J17" s="6"/>
      <c r="K17" s="6"/>
    </row>
    <row r="18" spans="2:11" ht="15.75" customHeight="1" x14ac:dyDescent="0.2">
      <c r="B18" s="6"/>
      <c r="C18" s="6"/>
      <c r="D18" s="6"/>
      <c r="E18" s="6"/>
      <c r="F18" s="6"/>
      <c r="G18" s="6"/>
      <c r="H18" s="6"/>
      <c r="I18" s="6"/>
      <c r="J18" s="6"/>
      <c r="K18" s="6"/>
    </row>
    <row r="19" spans="2:11" ht="15.75" customHeight="1" x14ac:dyDescent="0.25">
      <c r="B19" s="5" t="s">
        <v>13</v>
      </c>
      <c r="C19" s="6"/>
      <c r="D19" s="6"/>
      <c r="E19" s="6"/>
      <c r="F19" s="6"/>
      <c r="G19" s="6"/>
      <c r="H19" s="6"/>
      <c r="I19" s="6"/>
      <c r="J19" s="6"/>
      <c r="K19" s="6"/>
    </row>
    <row r="20" spans="2:11" ht="15.75" customHeight="1" x14ac:dyDescent="0.25">
      <c r="B20" s="6"/>
      <c r="C20" s="7" t="s">
        <v>14</v>
      </c>
      <c r="D20" s="6"/>
      <c r="E20" s="6"/>
      <c r="F20" s="6"/>
      <c r="G20" s="6"/>
      <c r="H20" s="6"/>
      <c r="I20" s="6"/>
      <c r="J20" s="6"/>
      <c r="K20" s="6"/>
    </row>
    <row r="21" spans="2:11" ht="15.75" customHeight="1" x14ac:dyDescent="0.25">
      <c r="B21" s="6"/>
      <c r="C21" s="7" t="s">
        <v>15</v>
      </c>
      <c r="D21" s="6"/>
      <c r="E21" s="6"/>
      <c r="F21" s="6"/>
      <c r="G21" s="6"/>
      <c r="H21" s="6"/>
      <c r="I21" s="6"/>
      <c r="J21" s="6"/>
      <c r="K21" s="6"/>
    </row>
    <row r="22" spans="2:11" ht="15.75" customHeight="1" x14ac:dyDescent="0.2">
      <c r="B22" s="6"/>
      <c r="C22" s="6"/>
      <c r="D22" s="6"/>
      <c r="E22" s="6"/>
      <c r="F22" s="6"/>
      <c r="G22" s="6"/>
      <c r="H22" s="6"/>
      <c r="I22" s="6"/>
      <c r="J22" s="6"/>
      <c r="K22" s="6"/>
    </row>
    <row r="23" spans="2:11" ht="15.75" customHeight="1" x14ac:dyDescent="0.25">
      <c r="B23" s="5" t="s">
        <v>16</v>
      </c>
      <c r="C23" s="6"/>
      <c r="D23" s="6"/>
      <c r="E23" s="6"/>
      <c r="F23" s="6"/>
      <c r="G23" s="6"/>
      <c r="H23" s="6"/>
      <c r="I23" s="6"/>
      <c r="J23" s="6"/>
      <c r="K23" s="6"/>
    </row>
    <row r="24" spans="2:11" ht="15.75" customHeight="1" x14ac:dyDescent="0.25">
      <c r="B24" s="6"/>
      <c r="C24" s="7" t="s">
        <v>17</v>
      </c>
      <c r="D24" s="6"/>
      <c r="E24" s="6"/>
      <c r="F24" s="6"/>
      <c r="G24" s="6"/>
      <c r="H24" s="6"/>
      <c r="I24" s="6"/>
      <c r="J24" s="6"/>
      <c r="K24" s="6"/>
    </row>
    <row r="25" spans="2:11" ht="15.75" customHeight="1" x14ac:dyDescent="0.25">
      <c r="B25" s="6"/>
      <c r="C25" s="7" t="s">
        <v>18</v>
      </c>
      <c r="D25" s="6"/>
      <c r="E25" s="6"/>
      <c r="F25" s="6"/>
      <c r="G25" s="6"/>
      <c r="H25" s="6"/>
      <c r="I25" s="6"/>
      <c r="J25" s="6"/>
      <c r="K25" s="6"/>
    </row>
    <row r="26" spans="2:11" ht="15.75" customHeight="1" x14ac:dyDescent="0.25">
      <c r="B26" s="6"/>
      <c r="C26" s="7"/>
      <c r="D26" s="6"/>
      <c r="E26" s="6"/>
      <c r="F26" s="6"/>
      <c r="G26" s="6"/>
      <c r="H26" s="6"/>
      <c r="I26" s="6"/>
      <c r="J26" s="6"/>
      <c r="K26" s="6"/>
    </row>
    <row r="27" spans="2:11" ht="15.75" customHeight="1" x14ac:dyDescent="0.25">
      <c r="B27" s="6"/>
      <c r="C27" s="6"/>
      <c r="D27" s="8"/>
      <c r="E27" s="6"/>
      <c r="F27" s="6"/>
      <c r="G27" s="6"/>
      <c r="H27" s="6"/>
      <c r="I27" s="6"/>
      <c r="J27" s="6"/>
      <c r="K27" s="6"/>
    </row>
    <row r="28" spans="2:11" ht="15.75" customHeight="1" x14ac:dyDescent="0.2"/>
    <row r="29" spans="2:11" ht="15.75" customHeight="1" x14ac:dyDescent="0.2"/>
    <row r="30" spans="2:11" ht="15.75" customHeight="1" x14ac:dyDescent="0.2"/>
    <row r="31" spans="2:11" ht="15.75" customHeight="1" x14ac:dyDescent="0.2"/>
    <row r="32" spans="2:11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N1000"/>
  <sheetViews>
    <sheetView tabSelected="1" workbookViewId="0">
      <selection activeCell="D5" sqref="D5"/>
    </sheetView>
  </sheetViews>
  <sheetFormatPr defaultColWidth="12.5703125" defaultRowHeight="15" customHeight="1" x14ac:dyDescent="0.2"/>
  <cols>
    <col min="1" max="1" width="12.5703125" customWidth="1"/>
    <col min="2" max="2" width="14" bestFit="1" customWidth="1"/>
    <col min="3" max="6" width="12.5703125" customWidth="1"/>
    <col min="8" max="8" width="12.5703125" style="13"/>
    <col min="10" max="10" width="17.28515625" bestFit="1" customWidth="1"/>
    <col min="11" max="11" width="17.85546875" customWidth="1"/>
    <col min="12" max="12" width="21.7109375" bestFit="1" customWidth="1"/>
    <col min="13" max="13" width="14.140625" style="18" customWidth="1"/>
  </cols>
  <sheetData>
    <row r="1" spans="1:14" ht="15.75" customHeight="1" x14ac:dyDescent="0.2">
      <c r="A1" s="9" t="s">
        <v>19</v>
      </c>
      <c r="B1" s="9" t="s">
        <v>20</v>
      </c>
      <c r="C1" s="9" t="s">
        <v>21</v>
      </c>
      <c r="D1" s="9" t="s">
        <v>22</v>
      </c>
      <c r="E1" s="9" t="s">
        <v>23</v>
      </c>
      <c r="F1" s="9" t="s">
        <v>24</v>
      </c>
      <c r="H1" s="12" t="s">
        <v>113</v>
      </c>
      <c r="I1" s="9" t="s">
        <v>24</v>
      </c>
      <c r="J1" s="9" t="s">
        <v>114</v>
      </c>
      <c r="K1" s="9" t="s">
        <v>115</v>
      </c>
      <c r="L1" s="9" t="s">
        <v>116</v>
      </c>
      <c r="M1" s="15"/>
      <c r="N1" s="9" t="s">
        <v>117</v>
      </c>
    </row>
    <row r="2" spans="1:14" ht="15.75" customHeight="1" x14ac:dyDescent="0.2">
      <c r="A2" s="10" t="s">
        <v>25</v>
      </c>
      <c r="B2" s="10" t="s">
        <v>58</v>
      </c>
      <c r="C2" s="10" t="s">
        <v>26</v>
      </c>
      <c r="D2" s="10">
        <v>1000</v>
      </c>
      <c r="E2" s="10">
        <v>30</v>
      </c>
      <c r="F2" s="10" t="s">
        <v>27</v>
      </c>
      <c r="H2" s="13">
        <f>IF(ISBLANK(D2),ROUNDUP(AVERAGE($D$2:$D$32),0),D2)</f>
        <v>1000</v>
      </c>
      <c r="I2" t="str">
        <f>IF(ISBLANK(F2),IF(B2="Laptop","Electronics",IF(B2="Fitness Tracker","Electronics",IF(B2="Sneakers","Fashion", IF(B2="Dress","Fashion", IF(B2="Backpack","Outdoor",IF(B2="Hiking Boots","Outdoor",IF(B2="Coffee Maker","Kitchen", IF(B2="Blender","Kitchen","")))))))),
F2)</f>
        <v>Electronics</v>
      </c>
      <c r="J2" s="14" t="str">
        <f>LEFT(A2,6)</f>
        <v>28-JAN</v>
      </c>
      <c r="K2" t="str">
        <f>RIGHT(A2,2)</f>
        <v>US</v>
      </c>
      <c r="L2" t="str">
        <f>CONCATENATE(C2," ",B2)</f>
        <v>Dell Laptop</v>
      </c>
      <c r="M2" s="16">
        <v>45685</v>
      </c>
      <c r="N2" t="str">
        <f>TEXT(M2,"dd-mm-yyyy")</f>
        <v>28-01-2025</v>
      </c>
    </row>
    <row r="3" spans="1:14" ht="15.75" customHeight="1" x14ac:dyDescent="0.2">
      <c r="A3" s="11" t="s">
        <v>28</v>
      </c>
      <c r="B3" s="11" t="s">
        <v>29</v>
      </c>
      <c r="C3" s="11" t="s">
        <v>30</v>
      </c>
      <c r="D3" s="11">
        <v>80</v>
      </c>
      <c r="E3" s="11">
        <v>15</v>
      </c>
      <c r="F3" s="11" t="s">
        <v>31</v>
      </c>
      <c r="H3" s="13">
        <f t="shared" ref="H3:H32" si="0">IF(ISBLANK(D3),ROUNDUP(AVERAGE($D$2:$D$32),0),D3)</f>
        <v>80</v>
      </c>
      <c r="I3" t="str">
        <f t="shared" ref="I3:I32" si="1">IF(ISBLANK(F3),IF(B3="Laptop","Electronics",IF(B3="Fitness Tracker","Electronics",IF(B3="Sneakers","Fashion", IF(B3="Dress","Fashion", IF(B3="Backpack","Outdoor",IF(B3="Hiking Boots","Outdoor",IF(B3="Coffee Maker","Kitchen", IF(B3="Blender","Kitchen","")))))))),
F3)</f>
        <v>Fashion</v>
      </c>
      <c r="J3" t="str">
        <f t="shared" ref="J3:J32" si="2">LEFT(A3,6)</f>
        <v>15-FEB</v>
      </c>
      <c r="K3" t="str">
        <f t="shared" ref="K3:K32" si="3">RIGHT(A3,2)</f>
        <v>US</v>
      </c>
      <c r="L3" t="str">
        <f t="shared" ref="L3:L32" si="4">CONCATENATE(C3," ",B3)</f>
        <v>Nike Sneakers</v>
      </c>
      <c r="M3" s="17">
        <v>45703</v>
      </c>
      <c r="N3" t="str">
        <f t="shared" ref="N3:N32" si="5">TEXT(M3,"dd-mm-yyyy")</f>
        <v>15-02-2025</v>
      </c>
    </row>
    <row r="4" spans="1:14" ht="15.75" customHeight="1" x14ac:dyDescent="0.2">
      <c r="A4" s="10" t="s">
        <v>32</v>
      </c>
      <c r="B4" s="10" t="s">
        <v>33</v>
      </c>
      <c r="C4" s="10" t="s">
        <v>34</v>
      </c>
      <c r="D4" s="10">
        <v>130</v>
      </c>
      <c r="E4" s="10">
        <v>40</v>
      </c>
      <c r="F4" s="10" t="s">
        <v>35</v>
      </c>
      <c r="H4" s="13">
        <f t="shared" si="0"/>
        <v>130</v>
      </c>
      <c r="I4" t="str">
        <f t="shared" si="1"/>
        <v>Kitchen</v>
      </c>
      <c r="J4" t="str">
        <f t="shared" si="2"/>
        <v>03-MAR</v>
      </c>
      <c r="K4" t="str">
        <f t="shared" si="3"/>
        <v>US</v>
      </c>
      <c r="L4" t="str">
        <f t="shared" si="4"/>
        <v>Keurig Coffee Maker</v>
      </c>
      <c r="M4" s="16">
        <v>45719</v>
      </c>
      <c r="N4" t="str">
        <f t="shared" si="5"/>
        <v>03-03-2025</v>
      </c>
    </row>
    <row r="5" spans="1:14" ht="15.75" customHeight="1" x14ac:dyDescent="0.2">
      <c r="A5" s="11" t="s">
        <v>36</v>
      </c>
      <c r="B5" s="11" t="s">
        <v>93</v>
      </c>
      <c r="C5" s="11" t="s">
        <v>37</v>
      </c>
      <c r="D5" s="11">
        <v>900</v>
      </c>
      <c r="E5" s="11">
        <v>25</v>
      </c>
      <c r="F5" s="11" t="s">
        <v>27</v>
      </c>
      <c r="H5" s="13">
        <f t="shared" si="0"/>
        <v>900</v>
      </c>
      <c r="I5" t="str">
        <f t="shared" si="1"/>
        <v>Electronics</v>
      </c>
      <c r="J5" t="str">
        <f>LEFT(A5,6)</f>
        <v>11-APR</v>
      </c>
      <c r="K5" t="str">
        <f t="shared" si="3"/>
        <v>US</v>
      </c>
      <c r="L5" t="str">
        <f t="shared" si="4"/>
        <v>Samsung Smartphone</v>
      </c>
      <c r="M5" s="17">
        <v>45758</v>
      </c>
      <c r="N5" t="str">
        <f t="shared" si="5"/>
        <v>11-04-2025</v>
      </c>
    </row>
    <row r="6" spans="1:14" ht="15.75" customHeight="1" x14ac:dyDescent="0.2">
      <c r="A6" s="10" t="s">
        <v>38</v>
      </c>
      <c r="B6" s="10" t="s">
        <v>39</v>
      </c>
      <c r="C6" s="10" t="s">
        <v>40</v>
      </c>
      <c r="D6" s="10">
        <v>70</v>
      </c>
      <c r="E6" s="10">
        <v>20</v>
      </c>
      <c r="F6" s="10"/>
      <c r="H6" s="13">
        <f t="shared" si="0"/>
        <v>70</v>
      </c>
      <c r="I6" t="str">
        <f t="shared" si="1"/>
        <v>Outdoor</v>
      </c>
      <c r="J6" t="str">
        <f t="shared" si="2"/>
        <v>22-MAY</v>
      </c>
      <c r="K6" t="str">
        <f t="shared" si="3"/>
        <v>US</v>
      </c>
      <c r="L6" t="str">
        <f t="shared" si="4"/>
        <v>North Face Backpack</v>
      </c>
      <c r="M6" s="16">
        <v>45799</v>
      </c>
      <c r="N6" t="str">
        <f t="shared" si="5"/>
        <v>22-05-2025</v>
      </c>
    </row>
    <row r="7" spans="1:14" ht="15.75" customHeight="1" x14ac:dyDescent="0.2">
      <c r="A7" s="11" t="s">
        <v>41</v>
      </c>
      <c r="B7" s="11" t="s">
        <v>42</v>
      </c>
      <c r="C7" s="11" t="s">
        <v>43</v>
      </c>
      <c r="D7" s="11"/>
      <c r="E7" s="11">
        <v>45</v>
      </c>
      <c r="F7" s="11" t="s">
        <v>27</v>
      </c>
      <c r="H7" s="13">
        <f t="shared" si="0"/>
        <v>298</v>
      </c>
      <c r="I7" t="str">
        <f t="shared" si="1"/>
        <v>Electronics</v>
      </c>
      <c r="J7" t="str">
        <f t="shared" si="2"/>
        <v>07-JUN</v>
      </c>
      <c r="K7" t="str">
        <f t="shared" si="3"/>
        <v>UK</v>
      </c>
      <c r="L7" t="str">
        <f t="shared" si="4"/>
        <v>Sony Headphones</v>
      </c>
      <c r="M7" s="17">
        <v>45815</v>
      </c>
      <c r="N7" t="str">
        <f t="shared" si="5"/>
        <v>07-06-2025</v>
      </c>
    </row>
    <row r="8" spans="1:14" ht="15.75" customHeight="1" x14ac:dyDescent="0.2">
      <c r="A8" s="10" t="s">
        <v>44</v>
      </c>
      <c r="B8" s="10" t="s">
        <v>45</v>
      </c>
      <c r="C8" s="10" t="s">
        <v>46</v>
      </c>
      <c r="D8" s="10">
        <v>30</v>
      </c>
      <c r="E8" s="10">
        <v>5</v>
      </c>
      <c r="F8" s="10" t="s">
        <v>31</v>
      </c>
      <c r="H8" s="13">
        <f t="shared" si="0"/>
        <v>30</v>
      </c>
      <c r="I8" t="str">
        <f t="shared" si="1"/>
        <v>Fashion</v>
      </c>
      <c r="J8" t="str">
        <f t="shared" si="2"/>
        <v>19-JUL</v>
      </c>
      <c r="K8" t="str">
        <f t="shared" si="3"/>
        <v>UK</v>
      </c>
      <c r="L8" t="str">
        <f t="shared" si="4"/>
        <v>Adidas T-shirt</v>
      </c>
      <c r="M8" s="16">
        <v>45857</v>
      </c>
      <c r="N8" t="str">
        <f t="shared" si="5"/>
        <v>19-07-2025</v>
      </c>
    </row>
    <row r="9" spans="1:14" ht="15.75" customHeight="1" x14ac:dyDescent="0.2">
      <c r="A9" s="11" t="s">
        <v>47</v>
      </c>
      <c r="B9" s="11" t="s">
        <v>48</v>
      </c>
      <c r="C9" s="11" t="s">
        <v>49</v>
      </c>
      <c r="D9" s="11">
        <v>90</v>
      </c>
      <c r="E9" s="11">
        <v>35</v>
      </c>
      <c r="F9" s="11" t="s">
        <v>35</v>
      </c>
      <c r="H9" s="13">
        <f t="shared" si="0"/>
        <v>90</v>
      </c>
      <c r="I9" t="str">
        <f t="shared" si="1"/>
        <v>Kitchen</v>
      </c>
      <c r="J9" t="str">
        <f t="shared" si="2"/>
        <v>23-AUG</v>
      </c>
      <c r="K9" t="str">
        <f t="shared" si="3"/>
        <v>UK</v>
      </c>
      <c r="L9" t="str">
        <f t="shared" si="4"/>
        <v>Ninja Blender</v>
      </c>
      <c r="M9" s="17">
        <v>45892</v>
      </c>
      <c r="N9" t="str">
        <f t="shared" si="5"/>
        <v>23-08-2025</v>
      </c>
    </row>
    <row r="10" spans="1:14" ht="15.75" customHeight="1" x14ac:dyDescent="0.2">
      <c r="A10" s="10" t="s">
        <v>50</v>
      </c>
      <c r="B10" s="10" t="s">
        <v>51</v>
      </c>
      <c r="C10" s="10" t="s">
        <v>52</v>
      </c>
      <c r="D10" s="10">
        <v>500</v>
      </c>
      <c r="E10" s="10">
        <v>50</v>
      </c>
      <c r="F10" s="10" t="s">
        <v>27</v>
      </c>
      <c r="H10" s="13">
        <f t="shared" si="0"/>
        <v>500</v>
      </c>
      <c r="I10" t="str">
        <f t="shared" si="1"/>
        <v>Electronics</v>
      </c>
      <c r="J10" t="str">
        <f t="shared" si="2"/>
        <v>05-SEP</v>
      </c>
      <c r="K10" t="str">
        <f t="shared" si="3"/>
        <v>UK</v>
      </c>
      <c r="L10" t="str">
        <f t="shared" si="4"/>
        <v>Apple Tablet</v>
      </c>
      <c r="M10" s="16">
        <v>45905</v>
      </c>
      <c r="N10" t="str">
        <f t="shared" si="5"/>
        <v>05-09-2025</v>
      </c>
    </row>
    <row r="11" spans="1:14" ht="15.75" customHeight="1" x14ac:dyDescent="0.2">
      <c r="A11" s="11" t="s">
        <v>53</v>
      </c>
      <c r="B11" s="11" t="s">
        <v>54</v>
      </c>
      <c r="C11" s="11" t="s">
        <v>55</v>
      </c>
      <c r="D11" s="11">
        <v>130</v>
      </c>
      <c r="E11" s="11">
        <v>10</v>
      </c>
      <c r="F11" s="11" t="s">
        <v>56</v>
      </c>
      <c r="H11" s="13">
        <f t="shared" si="0"/>
        <v>130</v>
      </c>
      <c r="I11" t="str">
        <f t="shared" si="1"/>
        <v>Outdoor</v>
      </c>
      <c r="J11" t="str">
        <f t="shared" si="2"/>
        <v>14-OCT</v>
      </c>
      <c r="K11" t="str">
        <f t="shared" si="3"/>
        <v>UK</v>
      </c>
      <c r="L11" t="str">
        <f t="shared" si="4"/>
        <v>Timberland Hiking Boots</v>
      </c>
      <c r="M11" s="17">
        <v>45944</v>
      </c>
      <c r="N11" t="str">
        <f t="shared" si="5"/>
        <v>14-10-2025</v>
      </c>
    </row>
    <row r="12" spans="1:14" ht="15.75" customHeight="1" x14ac:dyDescent="0.2">
      <c r="A12" s="10" t="s">
        <v>57</v>
      </c>
      <c r="B12" s="10" t="s">
        <v>58</v>
      </c>
      <c r="C12" s="10" t="s">
        <v>59</v>
      </c>
      <c r="D12" s="10">
        <v>950</v>
      </c>
      <c r="E12" s="10">
        <v>25</v>
      </c>
      <c r="F12" s="10" t="s">
        <v>27</v>
      </c>
      <c r="H12" s="13">
        <f t="shared" si="0"/>
        <v>950</v>
      </c>
      <c r="I12" t="str">
        <f t="shared" si="1"/>
        <v>Electronics</v>
      </c>
      <c r="J12" t="str">
        <f t="shared" si="2"/>
        <v>17-JUN</v>
      </c>
      <c r="K12" t="str">
        <f t="shared" si="3"/>
        <v>IN</v>
      </c>
      <c r="L12" t="str">
        <f t="shared" si="4"/>
        <v>HP Laptop</v>
      </c>
      <c r="M12" s="16">
        <v>45825</v>
      </c>
      <c r="N12" t="str">
        <f t="shared" si="5"/>
        <v>17-06-2025</v>
      </c>
    </row>
    <row r="13" spans="1:14" ht="15.75" customHeight="1" x14ac:dyDescent="0.2">
      <c r="A13" s="11" t="s">
        <v>60</v>
      </c>
      <c r="B13" s="11" t="s">
        <v>29</v>
      </c>
      <c r="C13" s="11" t="s">
        <v>46</v>
      </c>
      <c r="D13" s="11">
        <v>90</v>
      </c>
      <c r="E13" s="11">
        <v>40</v>
      </c>
      <c r="F13" s="11"/>
      <c r="H13" s="13">
        <f t="shared" si="0"/>
        <v>90</v>
      </c>
      <c r="I13" t="str">
        <f t="shared" si="1"/>
        <v>Fashion</v>
      </c>
      <c r="J13" t="str">
        <f t="shared" si="2"/>
        <v>25-NOV</v>
      </c>
      <c r="K13" t="str">
        <f t="shared" si="3"/>
        <v>AU</v>
      </c>
      <c r="L13" t="str">
        <f t="shared" si="4"/>
        <v>Adidas Sneakers</v>
      </c>
      <c r="M13" s="17">
        <v>45986</v>
      </c>
      <c r="N13" t="str">
        <f t="shared" si="5"/>
        <v>25-11-2025</v>
      </c>
    </row>
    <row r="14" spans="1:14" ht="15.75" customHeight="1" x14ac:dyDescent="0.2">
      <c r="A14" s="10" t="s">
        <v>61</v>
      </c>
      <c r="B14" s="10" t="s">
        <v>33</v>
      </c>
      <c r="C14" s="10" t="s">
        <v>62</v>
      </c>
      <c r="D14" s="10">
        <v>120</v>
      </c>
      <c r="E14" s="10">
        <v>35</v>
      </c>
      <c r="F14" s="10"/>
      <c r="H14" s="13">
        <f t="shared" si="0"/>
        <v>120</v>
      </c>
      <c r="I14" t="str">
        <f t="shared" si="1"/>
        <v>Kitchen</v>
      </c>
      <c r="J14" t="str">
        <f t="shared" si="2"/>
        <v>08-DEC</v>
      </c>
      <c r="K14" t="str">
        <f t="shared" si="3"/>
        <v>DE</v>
      </c>
      <c r="L14" t="str">
        <f t="shared" si="4"/>
        <v>Nespresso Coffee Maker</v>
      </c>
      <c r="M14" s="16">
        <v>45999</v>
      </c>
      <c r="N14" t="str">
        <f t="shared" si="5"/>
        <v>08-12-2025</v>
      </c>
    </row>
    <row r="15" spans="1:14" ht="15.75" customHeight="1" x14ac:dyDescent="0.2">
      <c r="A15" s="11" t="s">
        <v>63</v>
      </c>
      <c r="B15" s="11" t="s">
        <v>64</v>
      </c>
      <c r="C15" s="11" t="s">
        <v>65</v>
      </c>
      <c r="D15" s="11">
        <v>150</v>
      </c>
      <c r="E15" s="11">
        <v>15</v>
      </c>
      <c r="F15" s="11" t="s">
        <v>27</v>
      </c>
      <c r="H15" s="13">
        <f t="shared" si="0"/>
        <v>150</v>
      </c>
      <c r="I15" t="str">
        <f>IF(ISBLANK(F15),IF(B15="Laptop","Electronics",IF(B15="Fitness Tracker","Electronics",IF(B15="Sneakers","Fashion", IF(B15="Dress","Fashion", IF(B15="Backpack","Outdoor",IF(B15="Hiking Boots","Outdoor",IF(B15="Coffee Maker","Kitchen", IF(B15="Blender","Kitchen","")))))))),
F15)</f>
        <v>Electronics</v>
      </c>
      <c r="J15" t="str">
        <f t="shared" si="2"/>
        <v>18-FEB</v>
      </c>
      <c r="K15" t="str">
        <f t="shared" si="3"/>
        <v>CA</v>
      </c>
      <c r="L15" t="str">
        <f t="shared" si="4"/>
        <v>Fitbit Smartwatch</v>
      </c>
      <c r="M15" s="17">
        <v>45706</v>
      </c>
      <c r="N15" t="str">
        <f t="shared" si="5"/>
        <v>18-02-2025</v>
      </c>
    </row>
    <row r="16" spans="1:14" ht="15.75" customHeight="1" x14ac:dyDescent="0.2">
      <c r="A16" s="10" t="s">
        <v>66</v>
      </c>
      <c r="B16" s="10" t="s">
        <v>67</v>
      </c>
      <c r="C16" s="10" t="s">
        <v>68</v>
      </c>
      <c r="D16" s="10">
        <v>250</v>
      </c>
      <c r="E16" s="10">
        <v>20</v>
      </c>
      <c r="F16" s="10" t="s">
        <v>27</v>
      </c>
      <c r="H16" s="13">
        <f t="shared" si="0"/>
        <v>250</v>
      </c>
      <c r="I16" t="str">
        <f t="shared" si="1"/>
        <v>Electronics</v>
      </c>
      <c r="J16" t="str">
        <f t="shared" si="2"/>
        <v>16-APR</v>
      </c>
      <c r="K16" t="str">
        <f t="shared" si="3"/>
        <v>ES</v>
      </c>
      <c r="L16" t="str">
        <f t="shared" si="4"/>
        <v>Bose headphones</v>
      </c>
      <c r="M16" s="16">
        <v>45763</v>
      </c>
      <c r="N16" t="str">
        <f t="shared" si="5"/>
        <v>16-04-2025</v>
      </c>
    </row>
    <row r="17" spans="1:14" ht="15.75" customHeight="1" x14ac:dyDescent="0.2">
      <c r="A17" s="11" t="s">
        <v>69</v>
      </c>
      <c r="B17" s="11" t="s">
        <v>70</v>
      </c>
      <c r="C17" s="11" t="s">
        <v>71</v>
      </c>
      <c r="D17" s="11">
        <v>50</v>
      </c>
      <c r="E17" s="11">
        <v>35</v>
      </c>
      <c r="F17" s="11" t="s">
        <v>72</v>
      </c>
      <c r="H17" s="13">
        <f t="shared" si="0"/>
        <v>50</v>
      </c>
      <c r="I17" t="str">
        <f t="shared" si="1"/>
        <v>Accessories</v>
      </c>
      <c r="J17" t="str">
        <f t="shared" si="2"/>
        <v>21-AUG</v>
      </c>
      <c r="K17" t="str">
        <f t="shared" si="3"/>
        <v>CA</v>
      </c>
      <c r="L17" t="str">
        <f t="shared" si="4"/>
        <v>Samsonite Laptop Bag</v>
      </c>
      <c r="M17" s="17">
        <v>45890</v>
      </c>
      <c r="N17" t="str">
        <f t="shared" si="5"/>
        <v>21-08-2025</v>
      </c>
    </row>
    <row r="18" spans="1:14" ht="15.75" customHeight="1" x14ac:dyDescent="0.2">
      <c r="A18" s="10" t="s">
        <v>73</v>
      </c>
      <c r="B18" s="10" t="s">
        <v>64</v>
      </c>
      <c r="C18" s="10" t="s">
        <v>74</v>
      </c>
      <c r="D18" s="10">
        <v>160</v>
      </c>
      <c r="E18" s="10">
        <v>15</v>
      </c>
      <c r="F18" s="10" t="s">
        <v>27</v>
      </c>
      <c r="H18" s="13">
        <f t="shared" si="0"/>
        <v>160</v>
      </c>
      <c r="I18" t="str">
        <f t="shared" si="1"/>
        <v>Electronics</v>
      </c>
      <c r="J18" t="str">
        <f t="shared" si="2"/>
        <v>20-AUG</v>
      </c>
      <c r="K18" t="str">
        <f t="shared" si="3"/>
        <v>CN</v>
      </c>
      <c r="L18" t="str">
        <f t="shared" si="4"/>
        <v>Huawei Smartwatch</v>
      </c>
      <c r="M18" s="16">
        <v>45889</v>
      </c>
      <c r="N18" t="str">
        <f t="shared" si="5"/>
        <v>20-08-2025</v>
      </c>
    </row>
    <row r="19" spans="1:14" ht="15.75" customHeight="1" x14ac:dyDescent="0.2">
      <c r="A19" s="11" t="s">
        <v>75</v>
      </c>
      <c r="B19" s="11" t="s">
        <v>58</v>
      </c>
      <c r="C19" s="11" t="s">
        <v>76</v>
      </c>
      <c r="D19" s="11">
        <v>980</v>
      </c>
      <c r="E19" s="11">
        <v>10</v>
      </c>
      <c r="F19" s="11" t="s">
        <v>27</v>
      </c>
      <c r="H19" s="13">
        <f t="shared" si="0"/>
        <v>980</v>
      </c>
      <c r="I19" t="str">
        <f t="shared" si="1"/>
        <v>Electronics</v>
      </c>
      <c r="J19" t="str">
        <f t="shared" si="2"/>
        <v>27-JAN</v>
      </c>
      <c r="K19" t="str">
        <f t="shared" si="3"/>
        <v>IT</v>
      </c>
      <c r="L19" t="str">
        <f t="shared" si="4"/>
        <v>Asus Laptop</v>
      </c>
      <c r="M19" s="17">
        <v>45684</v>
      </c>
      <c r="N19" t="str">
        <f t="shared" si="5"/>
        <v>27-01-2025</v>
      </c>
    </row>
    <row r="20" spans="1:14" ht="15.75" customHeight="1" x14ac:dyDescent="0.2">
      <c r="A20" s="10" t="s">
        <v>77</v>
      </c>
      <c r="B20" s="10" t="s">
        <v>78</v>
      </c>
      <c r="C20" s="10" t="s">
        <v>79</v>
      </c>
      <c r="D20" s="10">
        <v>150</v>
      </c>
      <c r="E20" s="10">
        <v>15</v>
      </c>
      <c r="F20" s="10" t="s">
        <v>31</v>
      </c>
      <c r="H20" s="13">
        <f t="shared" si="0"/>
        <v>150</v>
      </c>
      <c r="I20" t="str">
        <f t="shared" si="1"/>
        <v>Fashion</v>
      </c>
      <c r="J20" t="str">
        <f t="shared" si="2"/>
        <v>01-MAR</v>
      </c>
      <c r="K20" t="str">
        <f t="shared" si="3"/>
        <v>UK</v>
      </c>
      <c r="L20" t="str">
        <f t="shared" si="4"/>
        <v>Oakley Sunglasses</v>
      </c>
      <c r="M20" s="16">
        <v>45717</v>
      </c>
      <c r="N20" t="str">
        <f t="shared" si="5"/>
        <v>01-03-2025</v>
      </c>
    </row>
    <row r="21" spans="1:14" ht="15.75" customHeight="1" x14ac:dyDescent="0.2">
      <c r="A21" s="11" t="s">
        <v>80</v>
      </c>
      <c r="B21" s="11" t="s">
        <v>81</v>
      </c>
      <c r="C21" s="11" t="s">
        <v>82</v>
      </c>
      <c r="D21" s="11"/>
      <c r="E21" s="11">
        <v>10</v>
      </c>
      <c r="F21" s="11" t="s">
        <v>56</v>
      </c>
      <c r="H21" s="13">
        <f t="shared" si="0"/>
        <v>298</v>
      </c>
      <c r="I21" t="str">
        <f t="shared" si="1"/>
        <v>Outdoor</v>
      </c>
      <c r="J21" t="str">
        <f t="shared" si="2"/>
        <v>14-AUG</v>
      </c>
      <c r="K21" t="str">
        <f t="shared" si="3"/>
        <v>US</v>
      </c>
      <c r="L21" t="str">
        <f t="shared" si="4"/>
        <v>Coleman Camping Tent</v>
      </c>
      <c r="M21" s="17">
        <v>45883</v>
      </c>
      <c r="N21" t="str">
        <f t="shared" si="5"/>
        <v>14-08-2025</v>
      </c>
    </row>
    <row r="22" spans="1:14" ht="15.75" customHeight="1" x14ac:dyDescent="0.2">
      <c r="A22" s="10" t="s">
        <v>83</v>
      </c>
      <c r="B22" s="10" t="s">
        <v>84</v>
      </c>
      <c r="C22" s="10" t="s">
        <v>85</v>
      </c>
      <c r="D22" s="10">
        <v>700</v>
      </c>
      <c r="E22" s="10">
        <v>50</v>
      </c>
      <c r="F22" s="10" t="s">
        <v>27</v>
      </c>
      <c r="H22" s="13">
        <f t="shared" si="0"/>
        <v>700</v>
      </c>
      <c r="I22" t="str">
        <f t="shared" si="1"/>
        <v>Electronics</v>
      </c>
      <c r="J22" t="str">
        <f t="shared" si="2"/>
        <v>14-MAY</v>
      </c>
      <c r="K22" t="str">
        <f t="shared" si="3"/>
        <v>RU</v>
      </c>
      <c r="L22" t="str">
        <f t="shared" si="4"/>
        <v>Nikon Camera</v>
      </c>
      <c r="M22" s="16">
        <v>45791</v>
      </c>
      <c r="N22" t="str">
        <f t="shared" si="5"/>
        <v>14-05-2025</v>
      </c>
    </row>
    <row r="23" spans="1:14" ht="15.75" customHeight="1" x14ac:dyDescent="0.2">
      <c r="A23" s="11" t="s">
        <v>86</v>
      </c>
      <c r="B23" s="11" t="s">
        <v>87</v>
      </c>
      <c r="C23" s="11" t="s">
        <v>88</v>
      </c>
      <c r="D23" s="11">
        <v>80</v>
      </c>
      <c r="E23" s="11">
        <v>20</v>
      </c>
      <c r="F23" s="11" t="s">
        <v>35</v>
      </c>
      <c r="H23" s="13">
        <f t="shared" si="0"/>
        <v>80</v>
      </c>
      <c r="I23" t="str">
        <f t="shared" si="1"/>
        <v>Kitchen</v>
      </c>
      <c r="J23" t="str">
        <f t="shared" si="2"/>
        <v>09-JAN</v>
      </c>
      <c r="K23" t="str">
        <f t="shared" si="3"/>
        <v>CA</v>
      </c>
      <c r="L23" t="str">
        <f t="shared" si="4"/>
        <v>Panasonic Microwave</v>
      </c>
      <c r="M23" s="17">
        <v>45666</v>
      </c>
      <c r="N23" t="str">
        <f t="shared" si="5"/>
        <v>09-01-2025</v>
      </c>
    </row>
    <row r="24" spans="1:14" ht="15.75" customHeight="1" x14ac:dyDescent="0.2">
      <c r="A24" s="10" t="s">
        <v>89</v>
      </c>
      <c r="B24" s="10" t="s">
        <v>90</v>
      </c>
      <c r="C24" s="10" t="s">
        <v>91</v>
      </c>
      <c r="D24" s="10">
        <v>150</v>
      </c>
      <c r="E24" s="10">
        <v>30</v>
      </c>
      <c r="F24" s="10"/>
      <c r="H24" s="13">
        <f t="shared" si="0"/>
        <v>150</v>
      </c>
      <c r="I24" t="str">
        <f t="shared" si="1"/>
        <v>Electronics</v>
      </c>
      <c r="J24" t="str">
        <f t="shared" si="2"/>
        <v>19-JUL</v>
      </c>
      <c r="K24" t="str">
        <f t="shared" si="3"/>
        <v>BR</v>
      </c>
      <c r="L24" t="str">
        <f t="shared" si="4"/>
        <v>Xiaomi Fitness Tracker</v>
      </c>
      <c r="M24" s="16">
        <v>45857</v>
      </c>
      <c r="N24" t="str">
        <f t="shared" si="5"/>
        <v>19-07-2025</v>
      </c>
    </row>
    <row r="25" spans="1:14" ht="15.75" customHeight="1" x14ac:dyDescent="0.2">
      <c r="A25" s="10" t="s">
        <v>92</v>
      </c>
      <c r="B25" s="10" t="s">
        <v>93</v>
      </c>
      <c r="C25" s="10" t="s">
        <v>94</v>
      </c>
      <c r="D25" s="10">
        <v>800</v>
      </c>
      <c r="E25" s="10">
        <v>45</v>
      </c>
      <c r="F25" s="10" t="s">
        <v>27</v>
      </c>
      <c r="H25" s="13">
        <f t="shared" si="0"/>
        <v>800</v>
      </c>
      <c r="I25" t="str">
        <f t="shared" si="1"/>
        <v>Electronics</v>
      </c>
      <c r="J25" t="str">
        <f t="shared" si="2"/>
        <v>29-SEP</v>
      </c>
      <c r="K25" t="str">
        <f t="shared" si="3"/>
        <v>CA</v>
      </c>
      <c r="L25" t="str">
        <f t="shared" si="4"/>
        <v>Google Smartphone</v>
      </c>
      <c r="M25" s="16">
        <v>45929</v>
      </c>
      <c r="N25" t="str">
        <f t="shared" si="5"/>
        <v>29-09-2025</v>
      </c>
    </row>
    <row r="26" spans="1:14" ht="15.75" customHeight="1" x14ac:dyDescent="0.2">
      <c r="A26" s="11" t="s">
        <v>95</v>
      </c>
      <c r="B26" s="11" t="s">
        <v>78</v>
      </c>
      <c r="C26" s="11" t="s">
        <v>96</v>
      </c>
      <c r="D26" s="11"/>
      <c r="E26" s="11">
        <v>25</v>
      </c>
      <c r="F26" s="11" t="s">
        <v>31</v>
      </c>
      <c r="H26" s="13">
        <f t="shared" si="0"/>
        <v>298</v>
      </c>
      <c r="I26" t="str">
        <f t="shared" si="1"/>
        <v>Fashion</v>
      </c>
      <c r="J26" t="str">
        <f t="shared" si="2"/>
        <v>03-JUN</v>
      </c>
      <c r="K26" t="str">
        <f t="shared" si="3"/>
        <v>CA</v>
      </c>
      <c r="L26" t="str">
        <f t="shared" si="4"/>
        <v>Ray-Ban Sunglasses</v>
      </c>
      <c r="M26" s="17">
        <v>45811</v>
      </c>
      <c r="N26" t="str">
        <f t="shared" si="5"/>
        <v>03-06-2025</v>
      </c>
    </row>
    <row r="27" spans="1:14" ht="15.75" customHeight="1" x14ac:dyDescent="0.2">
      <c r="A27" s="10" t="s">
        <v>97</v>
      </c>
      <c r="B27" s="10" t="s">
        <v>48</v>
      </c>
      <c r="C27" s="10" t="s">
        <v>98</v>
      </c>
      <c r="D27" s="10">
        <v>400</v>
      </c>
      <c r="E27" s="10">
        <v>40</v>
      </c>
      <c r="F27" s="10" t="s">
        <v>35</v>
      </c>
      <c r="H27" s="13">
        <f t="shared" si="0"/>
        <v>400</v>
      </c>
      <c r="I27" t="str">
        <f t="shared" si="1"/>
        <v>Kitchen</v>
      </c>
      <c r="J27" t="str">
        <f t="shared" si="2"/>
        <v>11-JUL</v>
      </c>
      <c r="K27" t="str">
        <f t="shared" si="3"/>
        <v>CA</v>
      </c>
      <c r="L27" t="str">
        <f t="shared" si="4"/>
        <v>Vitamix Blender</v>
      </c>
      <c r="M27" s="16">
        <v>45849</v>
      </c>
      <c r="N27" t="str">
        <f t="shared" si="5"/>
        <v>11-07-2025</v>
      </c>
    </row>
    <row r="28" spans="1:14" ht="15.75" customHeight="1" x14ac:dyDescent="0.2">
      <c r="A28" s="10" t="s">
        <v>99</v>
      </c>
      <c r="B28" s="10" t="s">
        <v>100</v>
      </c>
      <c r="C28" s="10" t="s">
        <v>101</v>
      </c>
      <c r="D28" s="10">
        <v>60</v>
      </c>
      <c r="E28" s="10">
        <v>30</v>
      </c>
      <c r="F28" s="10" t="s">
        <v>31</v>
      </c>
      <c r="H28" s="13">
        <f t="shared" si="0"/>
        <v>60</v>
      </c>
      <c r="I28" t="str">
        <f t="shared" si="1"/>
        <v>Fashion</v>
      </c>
      <c r="J28" t="str">
        <f t="shared" si="2"/>
        <v>07-MAR</v>
      </c>
      <c r="K28" t="str">
        <f t="shared" si="3"/>
        <v>CA</v>
      </c>
      <c r="L28" t="str">
        <f t="shared" si="4"/>
        <v>Zara Dress</v>
      </c>
      <c r="M28" s="16">
        <v>45723</v>
      </c>
      <c r="N28" t="str">
        <f t="shared" si="5"/>
        <v>07-03-2025</v>
      </c>
    </row>
    <row r="29" spans="1:14" ht="15.75" customHeight="1" x14ac:dyDescent="0.2">
      <c r="A29" s="11" t="s">
        <v>102</v>
      </c>
      <c r="B29" s="11" t="s">
        <v>103</v>
      </c>
      <c r="C29" s="11" t="s">
        <v>104</v>
      </c>
      <c r="D29" s="11">
        <v>40</v>
      </c>
      <c r="E29" s="11">
        <v>10</v>
      </c>
      <c r="F29" s="11" t="s">
        <v>35</v>
      </c>
      <c r="H29" s="13">
        <f t="shared" si="0"/>
        <v>40</v>
      </c>
      <c r="I29" t="str">
        <f t="shared" si="1"/>
        <v>Kitchen</v>
      </c>
      <c r="J29" t="str">
        <f t="shared" si="2"/>
        <v>13-APR</v>
      </c>
      <c r="K29" t="str">
        <f t="shared" si="3"/>
        <v>CA</v>
      </c>
      <c r="L29" t="str">
        <f t="shared" si="4"/>
        <v>Hamilton Toaster</v>
      </c>
      <c r="M29" s="17">
        <v>45760</v>
      </c>
      <c r="N29" t="str">
        <f t="shared" si="5"/>
        <v>13-04-2025</v>
      </c>
    </row>
    <row r="30" spans="1:14" ht="15.75" customHeight="1" x14ac:dyDescent="0.2">
      <c r="A30" s="10" t="s">
        <v>105</v>
      </c>
      <c r="B30" s="10" t="s">
        <v>90</v>
      </c>
      <c r="C30" s="10" t="s">
        <v>106</v>
      </c>
      <c r="D30" s="10">
        <v>130</v>
      </c>
      <c r="E30" s="10">
        <v>5</v>
      </c>
      <c r="F30" s="10" t="s">
        <v>27</v>
      </c>
      <c r="H30" s="13">
        <f t="shared" si="0"/>
        <v>130</v>
      </c>
      <c r="I30" t="str">
        <f t="shared" si="1"/>
        <v>Electronics</v>
      </c>
      <c r="J30" t="str">
        <f t="shared" si="2"/>
        <v>24-MAY</v>
      </c>
      <c r="K30" t="str">
        <f t="shared" si="3"/>
        <v>CA</v>
      </c>
      <c r="L30" t="str">
        <f t="shared" si="4"/>
        <v>Garmin Fitness Tracker</v>
      </c>
      <c r="M30" s="16">
        <v>45801</v>
      </c>
      <c r="N30" t="str">
        <f t="shared" si="5"/>
        <v>24-05-2025</v>
      </c>
    </row>
    <row r="31" spans="1:14" ht="15.75" customHeight="1" x14ac:dyDescent="0.2">
      <c r="A31" s="11" t="s">
        <v>107</v>
      </c>
      <c r="B31" s="11" t="s">
        <v>108</v>
      </c>
      <c r="C31" s="11" t="s">
        <v>109</v>
      </c>
      <c r="D31" s="11">
        <v>50</v>
      </c>
      <c r="E31" s="11">
        <v>50</v>
      </c>
      <c r="F31" s="11" t="s">
        <v>31</v>
      </c>
      <c r="H31" s="13">
        <f t="shared" si="0"/>
        <v>50</v>
      </c>
      <c r="I31" t="str">
        <f t="shared" si="1"/>
        <v>Fashion</v>
      </c>
      <c r="J31" t="str">
        <f t="shared" si="2"/>
        <v>02-DEC</v>
      </c>
      <c r="K31" t="str">
        <f t="shared" si="3"/>
        <v>CA</v>
      </c>
      <c r="L31" t="str">
        <f t="shared" si="4"/>
        <v>Levi's Jeans</v>
      </c>
      <c r="M31" s="17">
        <v>45993</v>
      </c>
      <c r="N31" t="str">
        <f t="shared" si="5"/>
        <v>02-12-2025</v>
      </c>
    </row>
    <row r="32" spans="1:14" ht="15.75" customHeight="1" x14ac:dyDescent="0.2">
      <c r="A32" s="11" t="s">
        <v>110</v>
      </c>
      <c r="B32" s="11" t="s">
        <v>111</v>
      </c>
      <c r="C32" s="11" t="s">
        <v>112</v>
      </c>
      <c r="D32" s="11">
        <v>100</v>
      </c>
      <c r="E32" s="11">
        <v>20</v>
      </c>
      <c r="F32" s="11" t="s">
        <v>72</v>
      </c>
      <c r="H32" s="13">
        <f t="shared" si="0"/>
        <v>100</v>
      </c>
      <c r="I32" t="str">
        <f t="shared" si="1"/>
        <v>Accessories</v>
      </c>
      <c r="J32" t="str">
        <f t="shared" si="2"/>
        <v>09-JUL</v>
      </c>
      <c r="K32" t="str">
        <f t="shared" si="3"/>
        <v>FR</v>
      </c>
      <c r="L32" t="str">
        <f t="shared" si="4"/>
        <v>Casio Watch</v>
      </c>
      <c r="M32" s="17">
        <v>45847</v>
      </c>
      <c r="N32" t="str">
        <f t="shared" si="5"/>
        <v>09-07-2025</v>
      </c>
    </row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conditionalFormatting sqref="H1:H1048576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{E55E60CF-4779-43E4-84FE-FBC48AF644B7}</x14:id>
        </ext>
      </extLst>
    </cfRule>
  </conditionalFormatting>
  <conditionalFormatting sqref="I1:I1048576">
    <cfRule type="cellIs" dxfId="0" priority="1" operator="equal">
      <formula>"Electronics"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55E60CF-4779-43E4-84FE-FBC48AF644B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H1:H1048576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2025-10-11T18:34:15Z</dcterms:created>
  <dcterms:modified xsi:type="dcterms:W3CDTF">2025-10-11T18:37:30Z</dcterms:modified>
</cp:coreProperties>
</file>