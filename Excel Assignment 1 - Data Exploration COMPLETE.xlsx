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D:\DATAANALYTICS\EXCEL\ASSIGNMENT\"/>
    </mc:Choice>
  </mc:AlternateContent>
  <xr:revisionPtr revIDLastSave="0" documentId="10_ncr:8100000_{35D120D9-CA33-4199-B6B1-D78A8EA13892}" xr6:coauthVersionLast="34" xr6:coauthVersionMax="34" xr10:uidLastSave="{00000000-0000-0000-0000-000000000000}"/>
  <bookViews>
    <workbookView xWindow="0" yWindow="0" windowWidth="20490" windowHeight="7545" activeTab="1" xr2:uid="{00000000-000D-0000-FFFF-FFFF00000000}"/>
  </bookViews>
  <sheets>
    <sheet name="Instructions" sheetId="1" r:id="rId1"/>
    <sheet name="Dataset" sheetId="2" r:id="rId2"/>
  </sheets>
  <calcPr calcId="179021"/>
  <extLs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D40" i="2"/>
  <c r="D5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D50" i="2"/>
  <c r="D47" i="2" l="1"/>
  <c r="D45" i="2"/>
  <c r="D42" i="2"/>
  <c r="D38" i="2"/>
</calcChain>
</file>

<file path=xl/sharedStrings.xml><?xml version="1.0" encoding="utf-8"?>
<sst xmlns="http://schemas.openxmlformats.org/spreadsheetml/2006/main" count="180" uniqueCount="131">
  <si>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</si>
  <si>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</si>
  <si>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</si>
  <si>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</si>
  <si>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</si>
  <si>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</si>
  <si>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</si>
  <si>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</si>
  <si>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</si>
  <si>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</si>
  <si>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</si>
  <si>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</si>
  <si>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</si>
  <si>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</si>
  <si>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</si>
  <si>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</si>
  <si>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</si>
  <si>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</si>
  <si>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</si>
  <si>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</si>
  <si>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</si>
  <si>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</si>
  <si>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</si>
  <si>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</si>
  <si>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</si>
  <si>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</si>
  <si>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</si>
  <si>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</si>
  <si>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</si>
  <si>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</si>
  <si>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</si>
  <si>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</si>
  <si>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</si>
  <si>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</si>
  <si>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</si>
  <si>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</si>
  <si>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</si>
  <si>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</si>
  <si>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</si>
  <si>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</si>
  <si>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</si>
  <si>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</si>
  <si>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</si>
  <si>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</si>
  <si>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</si>
  <si>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</si>
  <si>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</si>
  <si>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</si>
  <si>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</si>
  <si>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</si>
  <si>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</si>
  <si>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</si>
  <si>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</si>
  <si>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</si>
  <si>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</si>
  <si>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</si>
  <si>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</si>
  <si>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</si>
  <si>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</si>
  <si>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</si>
  <si>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</si>
  <si>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</si>
  <si>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</si>
  <si>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</si>
  <si>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</si>
  <si>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</si>
  <si>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</si>
  <si>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</si>
  <si>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</si>
  <si>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</si>
  <si>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</si>
  <si>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</si>
  <si>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</si>
  <si>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</si>
  <si>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</si>
  <si>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</si>
  <si>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</si>
  <si>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</si>
  <si>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</si>
  <si>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</si>
  <si>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</si>
  <si>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</si>
  <si>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</si>
  <si>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</si>
  <si>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</si>
  <si>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</si>
  <si>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</si>
  <si>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</si>
  <si>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</si>
  <si>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</si>
  <si>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</si>
  <si>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</si>
  <si>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</si>
  <si>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</si>
  <si>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</si>
  <si>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</si>
  <si>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</si>
  <si>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</si>
  <si>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</si>
  <si>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</si>
  <si>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</si>
  <si>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</si>
  <si>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</si>
  <si>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</si>
  <si>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</si>
  <si>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</si>
  <si>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</si>
  <si>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</si>
  <si>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</si>
  <si>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</si>
  <si>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What is the total price of all products in the dataset?</t>
  </si>
  <si>
    <t>How many products are there in the dataset?</t>
  </si>
  <si>
    <t>Calculate the average price of the products.</t>
  </si>
  <si>
    <t>Determine the minimum price among all products.</t>
  </si>
  <si>
    <t>Find the maximum price among all products.</t>
  </si>
  <si>
    <t>Calculate the total price for products in the 'Electronics' category using the SUMIF function.</t>
  </si>
  <si>
    <t>Determine the count of products with a price less than $100 using the COUNTIF function.</t>
  </si>
  <si>
    <t>LEFT function</t>
  </si>
  <si>
    <t>MID function</t>
  </si>
  <si>
    <t>RIGHT function</t>
  </si>
  <si>
    <t>Price Range</t>
  </si>
  <si>
    <t>Day</t>
  </si>
  <si>
    <t>Country</t>
  </si>
  <si>
    <t>Month</t>
  </si>
  <si>
    <t>SUMIF</t>
  </si>
  <si>
    <t>COUNTIF</t>
  </si>
  <si>
    <t>MAX</t>
  </si>
  <si>
    <t>MIN</t>
  </si>
  <si>
    <t>AVG</t>
  </si>
  <si>
    <t>COUNTA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</si>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</sst>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/>
    <xf numFmtId="0" fontId="6" fillId="3" borderId="0" xfId="0" applyFont="1" applyFill="1"/>
    <xf numFmtId="0" fontId="6" fillId="4" borderId="0" xfId="0" applyFont="1" applyFill="1" applyAlignment="1"/>
    <xf numFmtId="0" fontId="0" fillId="0" borderId="1" xfId="0" applyFont="1" applyBorder="1" applyAlignment="1"/>
    <xf numFmtId="0" fontId="7" fillId="0" borderId="0" xfId="0" applyFont="1" applyAlignment="1"/>
    <xf numFmtId="0" fontId="7" fillId="5" borderId="0" xfId="0" applyFont="1" applyFill="1" applyAlignment="1"/>
    <xf numFmtId="0" fontId="0" fillId="5" borderId="0" xfId="0" applyFont="1" applyFill="1" applyAlignment="1"/>
    <xf numFmtId="0" fontId="7" fillId="6" borderId="0" xfId="0" applyFont="1" applyFill="1" applyAlignment="1"/>
    <xf numFmtId="0" fontId="0" fillId="6" borderId="0" xfId="0" applyFont="1" applyFill="1" applyAlignment="1"/>
    <xf numFmtId="0" fontId="0" fillId="0" borderId="0" xfId="0" applyNumberFormat="1" applyFont="1" applyAlignment="1"/>
    <xf numFmtId="0" fontId="0" fillId="7" borderId="0" xfId="0" applyFont="1" applyFill="1" applyAlignment="1"/>
    <xf numFmtId="0" fontId="3" fillId="0" borderId="1" xfId="0" applyFont="1" applyBorder="1" applyAlignment="1"/>
    <xf numFmtId="0" fontId="1" fillId="0" borderId="1" xfId="0" applyFont="1" applyBorder="1" applyAlignment="1"/>
    <xf numFmtId="0" fontId="2" fillId="0" borderId="1" xfId="0" applyFont="1" applyBorder="1" applyAlignment="1"/>
    <xf numFmtId="0" fontId="4" fillId="0" borderId="1" xfId="0" applyFont="1" applyBorder="1" applyAlignment="1"/>
    <xf numFmtId="0" fontId="7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7" fillId="5" borderId="0" xfId="0" applyFont="1" applyFill="1" applyAlignment="1">
      <alignment wrapText="1"/>
    </xf>
    <xf numFmtId="0" fontId="0" fillId="5" borderId="0" xfId="0" applyFont="1" applyFill="1" applyAlignment="1">
      <alignment wrapText="1"/>
    </xf>
    <xf numFmtId="0" fontId="7" fillId="8" borderId="0" xfId="0" applyFont="1" applyFill="1" applyAlignment="1"/>
    <xf numFmtId="0" fontId="0" fillId="8" borderId="0" xfId="0" applyFont="1" applyFill="1" applyAlignment="1"/>
    <xf numFmtId="0" fontId="0" fillId="10" borderId="0" xfId="0" applyFont="1" applyFill="1" applyAlignment="1"/>
    <xf numFmtId="0" fontId="0" fillId="11" borderId="0" xfId="0" applyFont="1" applyFill="1" applyAlignment="1"/>
    <xf numFmtId="0" fontId="5" fillId="2" borderId="0" xfId="0" applyFont="1" applyFill="1" applyAlignment="1">
      <alignment horizontal="center" textRotation="180" wrapText="1"/>
    </xf>
    <xf numFmtId="0" fontId="0" fillId="12" borderId="0" xfId="0" applyFont="1" applyFill="1" applyAlignment="1"/>
    <xf numFmtId="0" fontId="8" fillId="9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C4" workbookViewId="0">
      <selection activeCell="C13" sqref="C13"/>
    </sheetView>
  </sheetViews>
  <sheetFormatPr defaultColWidth="12.5703125" defaultRowHeight="15" customHeight="1" x14ac:dyDescent="0.2"/>
  <cols>
    <col min="1" max="1" width="8.42578125" style="7" customWidth="1"/>
    <col min="2" max="2" width="42.7109375" style="7" bestFit="1" customWidth="1"/>
    <col min="3" max="3" width="156.5703125" style="7" bestFit="1" customWidth="1"/>
    <col min="4" max="6" width="12.5703125" style="7" customWidth="1"/>
    <col min="7" max="16384" width="12.5703125" style="7"/>
  </cols>
  <sheetData>
    <row r="1" spans="1:3" ht="15.75" customHeight="1" x14ac:dyDescent="0.25">
      <c r="A1" s="16" t="s">
        <v>0</v>
      </c>
    </row>
    <row r="2" spans="1:3" ht="15.75" customHeight="1" x14ac:dyDescent="0.2"/>
    <row r="3" spans="1:3" ht="15.75" customHeight="1" x14ac:dyDescent="0.25">
      <c r="B3" s="17" t="s">
        <v>1</v>
      </c>
    </row>
    <row r="4" spans="1:3" ht="15.75" customHeight="1" x14ac:dyDescent="0.25">
      <c r="B4" s="17"/>
      <c r="C4" s="15" t="s">
        <v>2</v>
      </c>
    </row>
    <row r="5" spans="1:3" ht="15.75" customHeight="1" x14ac:dyDescent="0.25">
      <c r="B5" s="17"/>
      <c r="C5" s="15" t="s">
        <v>3</v>
      </c>
    </row>
    <row r="6" spans="1:3" ht="15.75" customHeight="1" x14ac:dyDescent="0.25">
      <c r="B6" s="17"/>
      <c r="C6" s="15" t="s">
        <v>4</v>
      </c>
    </row>
    <row r="7" spans="1:3" ht="15.75" customHeight="1" x14ac:dyDescent="0.25">
      <c r="B7" s="18"/>
    </row>
    <row r="8" spans="1:3" ht="15.75" customHeight="1" x14ac:dyDescent="0.25">
      <c r="B8" s="17" t="s">
        <v>5</v>
      </c>
    </row>
    <row r="9" spans="1:3" ht="15.75" customHeight="1" x14ac:dyDescent="0.25">
      <c r="C9" s="15" t="s">
        <v>6</v>
      </c>
    </row>
    <row r="10" spans="1:3" ht="15.75" customHeight="1" x14ac:dyDescent="0.25">
      <c r="C10" s="15" t="s">
        <v>7</v>
      </c>
    </row>
    <row r="11" spans="1:3" ht="15.75" customHeight="1" x14ac:dyDescent="0.25">
      <c r="B11" s="18"/>
    </row>
    <row r="12" spans="1:3" ht="15.75" customHeight="1" x14ac:dyDescent="0.25">
      <c r="B12" s="17" t="s">
        <v>8</v>
      </c>
    </row>
    <row r="13" spans="1:3" ht="15.75" customHeight="1" x14ac:dyDescent="0.25">
      <c r="C13" s="15" t="s">
        <v>9</v>
      </c>
    </row>
    <row r="14" spans="1:3" ht="15.75" customHeight="1" x14ac:dyDescent="0.25">
      <c r="B14" s="18"/>
    </row>
    <row r="15" spans="1:3" ht="15.75" customHeight="1" x14ac:dyDescent="0.25">
      <c r="B15" s="17" t="s">
        <v>10</v>
      </c>
    </row>
    <row r="16" spans="1:3" ht="15.75" customHeight="1" x14ac:dyDescent="0.25">
      <c r="C16" s="15" t="s">
        <v>11</v>
      </c>
    </row>
    <row r="17" spans="2:3" ht="15.75" customHeight="1" x14ac:dyDescent="0.25">
      <c r="C17" s="15" t="s">
        <v>12</v>
      </c>
    </row>
    <row r="18" spans="2:3" ht="15.75" customHeight="1" x14ac:dyDescent="0.25">
      <c r="B18" s="18"/>
    </row>
    <row r="19" spans="2:3" ht="15.75" customHeight="1" x14ac:dyDescent="0.25">
      <c r="B19" s="17" t="s">
        <v>13</v>
      </c>
    </row>
    <row r="20" spans="2:3" ht="15.75" customHeight="1" x14ac:dyDescent="0.25">
      <c r="C20" s="15" t="s">
        <v>14</v>
      </c>
    </row>
    <row r="21" spans="2:3" ht="15.75" customHeight="1" x14ac:dyDescent="0.25">
      <c r="C21" s="15" t="s">
        <v>15</v>
      </c>
    </row>
    <row r="22" spans="2:3" ht="15.75" customHeight="1" x14ac:dyDescent="0.25">
      <c r="C22" s="15" t="s">
        <v>16</v>
      </c>
    </row>
    <row r="23" spans="2:3" ht="15.75" customHeight="1" x14ac:dyDescent="0.25">
      <c r="B23" s="18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000"/>
  <sheetViews>
    <sheetView tabSelected="1" workbookViewId="0">
      <selection activeCell="G12" sqref="G12"/>
    </sheetView>
  </sheetViews>
  <sheetFormatPr defaultColWidth="12.5703125" defaultRowHeight="15" customHeight="1" x14ac:dyDescent="0.2"/>
  <cols>
    <col min="1" max="1" width="78.42578125" bestFit="1" customWidth="1"/>
    <col min="2" max="2" width="14" bestFit="1" customWidth="1"/>
    <col min="3" max="3" width="12.5703125" customWidth="1"/>
    <col min="4" max="4" width="12" bestFit="1" customWidth="1"/>
    <col min="5" max="6" width="12.5703125" customWidth="1"/>
    <col min="8" max="8" width="13.42578125" bestFit="1" customWidth="1"/>
    <col min="9" max="9" width="20.140625" customWidth="1"/>
  </cols>
  <sheetData>
    <row r="1" spans="1:14" ht="15.75" customHeight="1" x14ac:dyDescent="0.2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2"/>
      <c r="H1" s="1" t="s">
        <v>120</v>
      </c>
      <c r="I1" s="27"/>
      <c r="J1" s="1" t="s">
        <v>121</v>
      </c>
      <c r="K1" s="1"/>
      <c r="L1" s="29" t="s">
        <v>122</v>
      </c>
      <c r="M1" s="1"/>
      <c r="N1" s="29" t="s">
        <v>123</v>
      </c>
    </row>
    <row r="2" spans="1:14" ht="15.75" customHeight="1" x14ac:dyDescent="0.2">
      <c r="A2" s="3" t="s">
        <v>23</v>
      </c>
      <c r="B2" s="3" t="s">
        <v>24</v>
      </c>
      <c r="C2" s="3" t="s">
        <v>25</v>
      </c>
      <c r="D2" s="3">
        <v>1000</v>
      </c>
      <c r="E2" s="3">
        <v>30</v>
      </c>
      <c r="F2" s="3" t="s">
        <v>26</v>
      </c>
      <c r="G2" s="4"/>
      <c r="H2" s="14" t="str">
        <f>IF(D2&gt;=500, "High Price","Standard Price")</f>
        <v>High Price</v>
      </c>
      <c r="J2" s="25" t="str">
        <f>LEFT(A2,2)</f>
        <v>28</v>
      </c>
      <c r="L2" s="12" t="str">
        <f>RIGHT(A2,2)</f>
        <v>US</v>
      </c>
      <c r="N2" s="26" t="str">
        <f>MID(A2,4,3)</f>
        <v>JAN</v>
      </c>
    </row>
    <row r="3" spans="1:14" ht="15.75" customHeight="1" x14ac:dyDescent="0.2">
      <c r="A3" s="5" t="s">
        <v>27</v>
      </c>
      <c r="B3" s="5" t="s">
        <v>28</v>
      </c>
      <c r="C3" s="5" t="s">
        <v>29</v>
      </c>
      <c r="D3" s="5">
        <v>80</v>
      </c>
      <c r="E3" s="5">
        <v>15</v>
      </c>
      <c r="F3" s="5" t="s">
        <v>30</v>
      </c>
      <c r="G3" s="4"/>
      <c r="H3" s="14" t="str">
        <f t="shared" ref="H3:H35" si="0">IF(D3&gt;=500, "High Price","Standard Price")</f>
        <v>Standard Price</v>
      </c>
      <c r="J3" s="25" t="str">
        <f t="shared" ref="J3:J35" si="1">LEFT(A3,2)</f>
        <v>15</v>
      </c>
      <c r="L3" s="12" t="str">
        <f t="shared" ref="L3:L35" si="2">RIGHT(A3,2)</f>
        <v>US</v>
      </c>
      <c r="N3" s="26" t="str">
        <f t="shared" ref="N3:N35" si="3">MID(A3,4,3)</f>
        <v>FEB</v>
      </c>
    </row>
    <row r="4" spans="1:14" ht="15.75" customHeight="1" x14ac:dyDescent="0.2">
      <c r="A4" s="3" t="s">
        <v>31</v>
      </c>
      <c r="B4" s="3" t="s">
        <v>32</v>
      </c>
      <c r="C4" s="3" t="s">
        <v>33</v>
      </c>
      <c r="D4" s="3">
        <v>130</v>
      </c>
      <c r="E4" s="3">
        <v>40</v>
      </c>
      <c r="F4" s="3" t="s">
        <v>34</v>
      </c>
      <c r="G4" s="4"/>
      <c r="H4" s="14" t="str">
        <f t="shared" si="0"/>
        <v>Standard Price</v>
      </c>
      <c r="J4" s="25" t="str">
        <f t="shared" si="1"/>
        <v>03</v>
      </c>
      <c r="L4" s="12" t="str">
        <f t="shared" si="2"/>
        <v>US</v>
      </c>
      <c r="N4" s="26" t="str">
        <f t="shared" si="3"/>
        <v>MAR</v>
      </c>
    </row>
    <row r="5" spans="1:14" ht="15.75" customHeight="1" x14ac:dyDescent="0.2">
      <c r="A5" s="5" t="s">
        <v>35</v>
      </c>
      <c r="B5" s="5" t="s">
        <v>36</v>
      </c>
      <c r="C5" s="5" t="s">
        <v>37</v>
      </c>
      <c r="D5" s="5">
        <v>900</v>
      </c>
      <c r="E5" s="5">
        <v>25</v>
      </c>
      <c r="F5" s="5" t="s">
        <v>26</v>
      </c>
      <c r="G5" s="4"/>
      <c r="H5" s="14" t="str">
        <f t="shared" si="0"/>
        <v>High Price</v>
      </c>
      <c r="J5" s="25" t="str">
        <f t="shared" si="1"/>
        <v>11</v>
      </c>
      <c r="L5" s="12" t="str">
        <f t="shared" si="2"/>
        <v>US</v>
      </c>
      <c r="N5" s="26" t="str">
        <f t="shared" si="3"/>
        <v>APR</v>
      </c>
    </row>
    <row r="6" spans="1:14" ht="15.75" customHeight="1" x14ac:dyDescent="0.2">
      <c r="A6" s="3" t="s">
        <v>38</v>
      </c>
      <c r="B6" s="3" t="s">
        <v>39</v>
      </c>
      <c r="C6" s="3" t="s">
        <v>40</v>
      </c>
      <c r="D6" s="3">
        <v>70</v>
      </c>
      <c r="E6" s="3">
        <v>20</v>
      </c>
      <c r="F6" s="3" t="s">
        <v>41</v>
      </c>
      <c r="G6" s="4"/>
      <c r="H6" s="14" t="str">
        <f t="shared" si="0"/>
        <v>Standard Price</v>
      </c>
      <c r="J6" s="25" t="str">
        <f t="shared" si="1"/>
        <v>22</v>
      </c>
      <c r="L6" s="12" t="str">
        <f t="shared" si="2"/>
        <v>US</v>
      </c>
      <c r="N6" s="26" t="str">
        <f t="shared" si="3"/>
        <v>MAY</v>
      </c>
    </row>
    <row r="7" spans="1:14" ht="15.75" customHeight="1" x14ac:dyDescent="0.2">
      <c r="A7" s="5" t="s">
        <v>42</v>
      </c>
      <c r="B7" s="5" t="s">
        <v>43</v>
      </c>
      <c r="C7" s="5" t="s">
        <v>44</v>
      </c>
      <c r="D7" s="5">
        <v>200</v>
      </c>
      <c r="E7" s="5">
        <v>45</v>
      </c>
      <c r="F7" s="5" t="s">
        <v>26</v>
      </c>
      <c r="G7" s="4"/>
      <c r="H7" s="14" t="str">
        <f t="shared" si="0"/>
        <v>Standard Price</v>
      </c>
      <c r="J7" s="25" t="str">
        <f t="shared" si="1"/>
        <v>07</v>
      </c>
      <c r="L7" s="12" t="str">
        <f t="shared" si="2"/>
        <v>UK</v>
      </c>
      <c r="N7" s="26" t="str">
        <f t="shared" si="3"/>
        <v>JUN</v>
      </c>
    </row>
    <row r="8" spans="1:14" ht="15.75" customHeight="1" x14ac:dyDescent="0.2">
      <c r="A8" s="3" t="s">
        <v>45</v>
      </c>
      <c r="B8" s="3" t="s">
        <v>46</v>
      </c>
      <c r="C8" s="3" t="s">
        <v>47</v>
      </c>
      <c r="D8" s="3">
        <v>30</v>
      </c>
      <c r="E8" s="3">
        <v>5</v>
      </c>
      <c r="F8" s="3" t="s">
        <v>30</v>
      </c>
      <c r="G8" s="4"/>
      <c r="H8" s="14" t="str">
        <f t="shared" si="0"/>
        <v>Standard Price</v>
      </c>
      <c r="J8" s="25" t="str">
        <f t="shared" si="1"/>
        <v>19</v>
      </c>
      <c r="L8" s="12" t="str">
        <f t="shared" si="2"/>
        <v>UK</v>
      </c>
      <c r="N8" s="26" t="str">
        <f t="shared" si="3"/>
        <v>JUL</v>
      </c>
    </row>
    <row r="9" spans="1:14" ht="15.75" customHeight="1" x14ac:dyDescent="0.2">
      <c r="A9" s="5" t="s">
        <v>48</v>
      </c>
      <c r="B9" s="5" t="s">
        <v>49</v>
      </c>
      <c r="C9" s="5" t="s">
        <v>50</v>
      </c>
      <c r="D9" s="5">
        <v>90</v>
      </c>
      <c r="E9" s="5">
        <v>35</v>
      </c>
      <c r="F9" s="5" t="s">
        <v>34</v>
      </c>
      <c r="G9" s="4"/>
      <c r="H9" s="14" t="str">
        <f t="shared" si="0"/>
        <v>Standard Price</v>
      </c>
      <c r="J9" s="25" t="str">
        <f t="shared" si="1"/>
        <v>23</v>
      </c>
      <c r="L9" s="12" t="str">
        <f t="shared" si="2"/>
        <v>UK</v>
      </c>
      <c r="N9" s="26" t="str">
        <f t="shared" si="3"/>
        <v>AUG</v>
      </c>
    </row>
    <row r="10" spans="1:14" ht="15.75" customHeight="1" x14ac:dyDescent="0.2">
      <c r="A10" s="3" t="s">
        <v>51</v>
      </c>
      <c r="B10" s="3" t="s">
        <v>52</v>
      </c>
      <c r="C10" s="3" t="s">
        <v>53</v>
      </c>
      <c r="D10" s="3">
        <v>500</v>
      </c>
      <c r="E10" s="3">
        <v>50</v>
      </c>
      <c r="F10" s="3" t="s">
        <v>26</v>
      </c>
      <c r="G10" s="4"/>
      <c r="H10" s="14" t="str">
        <f t="shared" si="0"/>
        <v>High Price</v>
      </c>
      <c r="I10" s="8" t="s">
        <v>119</v>
      </c>
      <c r="J10" s="25" t="str">
        <f t="shared" si="1"/>
        <v>05</v>
      </c>
      <c r="K10" s="8" t="s">
        <v>117</v>
      </c>
      <c r="L10" s="12" t="str">
        <f t="shared" si="2"/>
        <v>UK</v>
      </c>
      <c r="M10" s="8" t="s">
        <v>118</v>
      </c>
      <c r="N10" s="26" t="str">
        <f t="shared" si="3"/>
        <v>SEP</v>
      </c>
    </row>
    <row r="11" spans="1:14" ht="15.75" customHeight="1" x14ac:dyDescent="0.2">
      <c r="A11" s="5" t="s">
        <v>54</v>
      </c>
      <c r="B11" s="5" t="s">
        <v>55</v>
      </c>
      <c r="C11" s="5" t="s">
        <v>56</v>
      </c>
      <c r="D11" s="5">
        <v>130</v>
      </c>
      <c r="E11" s="5">
        <v>10</v>
      </c>
      <c r="F11" s="5" t="s">
        <v>41</v>
      </c>
      <c r="G11" s="4"/>
      <c r="H11" s="14" t="str">
        <f t="shared" si="0"/>
        <v>Standard Price</v>
      </c>
      <c r="J11" s="25" t="str">
        <f t="shared" si="1"/>
        <v>14</v>
      </c>
      <c r="L11" s="12" t="str">
        <f t="shared" si="2"/>
        <v>UK</v>
      </c>
      <c r="N11" s="26" t="str">
        <f t="shared" si="3"/>
        <v>OCT</v>
      </c>
    </row>
    <row r="12" spans="1:14" ht="15.75" customHeight="1" x14ac:dyDescent="0.2">
      <c r="A12" s="3" t="s">
        <v>57</v>
      </c>
      <c r="B12" s="3" t="s">
        <v>24</v>
      </c>
      <c r="C12" s="3" t="s">
        <v>58</v>
      </c>
      <c r="D12" s="3">
        <v>950</v>
      </c>
      <c r="E12" s="3">
        <v>25</v>
      </c>
      <c r="F12" s="3" t="s">
        <v>26</v>
      </c>
      <c r="G12" s="4"/>
      <c r="H12" s="14" t="str">
        <f t="shared" si="0"/>
        <v>High Price</v>
      </c>
      <c r="J12" s="25" t="str">
        <f t="shared" si="1"/>
        <v>17</v>
      </c>
      <c r="L12" s="12" t="str">
        <f t="shared" si="2"/>
        <v>IN</v>
      </c>
      <c r="N12" s="26" t="str">
        <f t="shared" si="3"/>
        <v>JUN</v>
      </c>
    </row>
    <row r="13" spans="1:14" ht="15.75" customHeight="1" x14ac:dyDescent="0.2">
      <c r="A13" s="5" t="s">
        <v>59</v>
      </c>
      <c r="B13" s="5" t="s">
        <v>28</v>
      </c>
      <c r="C13" s="5" t="s">
        <v>47</v>
      </c>
      <c r="D13" s="5">
        <v>90</v>
      </c>
      <c r="E13" s="5">
        <v>40</v>
      </c>
      <c r="F13" s="5" t="s">
        <v>30</v>
      </c>
      <c r="G13" s="4"/>
      <c r="H13" s="14" t="str">
        <f t="shared" si="0"/>
        <v>Standard Price</v>
      </c>
      <c r="J13" s="25" t="str">
        <f t="shared" si="1"/>
        <v>25</v>
      </c>
      <c r="L13" s="12" t="str">
        <f t="shared" si="2"/>
        <v>AU</v>
      </c>
      <c r="N13" s="26" t="str">
        <f t="shared" si="3"/>
        <v>NOV</v>
      </c>
    </row>
    <row r="14" spans="1:14" ht="15.75" customHeight="1" x14ac:dyDescent="0.2">
      <c r="A14" s="3" t="s">
        <v>60</v>
      </c>
      <c r="B14" s="3" t="s">
        <v>32</v>
      </c>
      <c r="C14" s="3" t="s">
        <v>61</v>
      </c>
      <c r="D14" s="3">
        <v>120</v>
      </c>
      <c r="E14" s="3">
        <v>35</v>
      </c>
      <c r="F14" s="3" t="s">
        <v>34</v>
      </c>
      <c r="G14" s="4"/>
      <c r="H14" s="14" t="str">
        <f t="shared" si="0"/>
        <v>Standard Price</v>
      </c>
      <c r="J14" s="25" t="str">
        <f t="shared" si="1"/>
        <v>08</v>
      </c>
      <c r="L14" s="12" t="str">
        <f t="shared" si="2"/>
        <v>DE</v>
      </c>
      <c r="N14" s="26" t="str">
        <f t="shared" si="3"/>
        <v>DEC</v>
      </c>
    </row>
    <row r="15" spans="1:14" ht="15.75" customHeight="1" x14ac:dyDescent="0.2">
      <c r="A15" s="5" t="s">
        <v>62</v>
      </c>
      <c r="B15" s="5" t="s">
        <v>63</v>
      </c>
      <c r="C15" s="5" t="s">
        <v>64</v>
      </c>
      <c r="D15" s="5">
        <v>150</v>
      </c>
      <c r="E15" s="5">
        <v>15</v>
      </c>
      <c r="F15" s="5" t="s">
        <v>26</v>
      </c>
      <c r="G15" s="4"/>
      <c r="H15" s="14" t="str">
        <f t="shared" si="0"/>
        <v>Standard Price</v>
      </c>
      <c r="J15" s="25" t="str">
        <f t="shared" si="1"/>
        <v>18</v>
      </c>
      <c r="L15" s="12" t="str">
        <f t="shared" si="2"/>
        <v>CA</v>
      </c>
      <c r="N15" s="26" t="str">
        <f t="shared" si="3"/>
        <v>FEB</v>
      </c>
    </row>
    <row r="16" spans="1:14" ht="15.75" customHeight="1" x14ac:dyDescent="0.2">
      <c r="A16" s="3" t="s">
        <v>65</v>
      </c>
      <c r="B16" s="3" t="s">
        <v>43</v>
      </c>
      <c r="C16" s="3" t="s">
        <v>66</v>
      </c>
      <c r="D16" s="3">
        <v>250</v>
      </c>
      <c r="E16" s="3">
        <v>20</v>
      </c>
      <c r="F16" s="3" t="s">
        <v>26</v>
      </c>
      <c r="G16" s="4"/>
      <c r="H16" s="14" t="str">
        <f t="shared" si="0"/>
        <v>Standard Price</v>
      </c>
      <c r="J16" s="25" t="str">
        <f t="shared" si="1"/>
        <v>16</v>
      </c>
      <c r="L16" s="12" t="str">
        <f t="shared" si="2"/>
        <v>ES</v>
      </c>
      <c r="N16" s="26" t="str">
        <f t="shared" si="3"/>
        <v>APR</v>
      </c>
    </row>
    <row r="17" spans="1:14" ht="15.75" customHeight="1" x14ac:dyDescent="0.2">
      <c r="A17" s="5" t="s">
        <v>67</v>
      </c>
      <c r="B17" s="5" t="s">
        <v>68</v>
      </c>
      <c r="C17" s="5" t="s">
        <v>69</v>
      </c>
      <c r="D17" s="5">
        <v>50</v>
      </c>
      <c r="E17" s="5">
        <v>35</v>
      </c>
      <c r="F17" s="5" t="s">
        <v>70</v>
      </c>
      <c r="G17" s="4"/>
      <c r="H17" s="14" t="str">
        <f t="shared" si="0"/>
        <v>Standard Price</v>
      </c>
      <c r="J17" s="25" t="str">
        <f t="shared" si="1"/>
        <v>21</v>
      </c>
      <c r="L17" s="12" t="str">
        <f t="shared" si="2"/>
        <v>CA</v>
      </c>
      <c r="N17" s="26" t="str">
        <f t="shared" si="3"/>
        <v>AUG</v>
      </c>
    </row>
    <row r="18" spans="1:14" ht="15.75" customHeight="1" x14ac:dyDescent="0.2">
      <c r="A18" s="3" t="s">
        <v>71</v>
      </c>
      <c r="B18" s="3" t="s">
        <v>63</v>
      </c>
      <c r="C18" s="3" t="s">
        <v>72</v>
      </c>
      <c r="D18" s="3">
        <v>160</v>
      </c>
      <c r="E18" s="3">
        <v>15</v>
      </c>
      <c r="F18" s="3" t="s">
        <v>26</v>
      </c>
      <c r="G18" s="4"/>
      <c r="H18" s="14" t="str">
        <f t="shared" si="0"/>
        <v>Standard Price</v>
      </c>
      <c r="J18" s="25" t="str">
        <f t="shared" si="1"/>
        <v>20</v>
      </c>
      <c r="L18" s="12" t="str">
        <f t="shared" si="2"/>
        <v>CN</v>
      </c>
      <c r="N18" s="26" t="str">
        <f t="shared" si="3"/>
        <v>AUG</v>
      </c>
    </row>
    <row r="19" spans="1:14" ht="15.75" customHeight="1" x14ac:dyDescent="0.2">
      <c r="A19" s="5" t="s">
        <v>73</v>
      </c>
      <c r="B19" s="5" t="s">
        <v>24</v>
      </c>
      <c r="C19" s="5" t="s">
        <v>74</v>
      </c>
      <c r="D19" s="5">
        <v>980</v>
      </c>
      <c r="E19" s="5">
        <v>10</v>
      </c>
      <c r="F19" s="5" t="s">
        <v>26</v>
      </c>
      <c r="G19" s="4"/>
      <c r="H19" s="14" t="str">
        <f t="shared" si="0"/>
        <v>High Price</v>
      </c>
      <c r="J19" s="25" t="str">
        <f t="shared" si="1"/>
        <v>27</v>
      </c>
      <c r="L19" s="12" t="str">
        <f t="shared" si="2"/>
        <v>IT</v>
      </c>
      <c r="N19" s="26" t="str">
        <f t="shared" si="3"/>
        <v>JAN</v>
      </c>
    </row>
    <row r="20" spans="1:14" ht="15.75" customHeight="1" x14ac:dyDescent="0.2">
      <c r="A20" s="3" t="s">
        <v>75</v>
      </c>
      <c r="B20" s="3" t="s">
        <v>76</v>
      </c>
      <c r="C20" s="3" t="s">
        <v>77</v>
      </c>
      <c r="D20" s="3">
        <v>150</v>
      </c>
      <c r="E20" s="3">
        <v>15</v>
      </c>
      <c r="F20" s="3" t="s">
        <v>30</v>
      </c>
      <c r="G20" s="4"/>
      <c r="H20" s="14" t="str">
        <f t="shared" si="0"/>
        <v>Standard Price</v>
      </c>
      <c r="J20" s="25" t="str">
        <f t="shared" si="1"/>
        <v>01</v>
      </c>
      <c r="L20" s="12" t="str">
        <f t="shared" si="2"/>
        <v>UK</v>
      </c>
      <c r="N20" s="26" t="str">
        <f t="shared" si="3"/>
        <v>MAR</v>
      </c>
    </row>
    <row r="21" spans="1:14" ht="15.75" customHeight="1" x14ac:dyDescent="0.2">
      <c r="A21" s="5" t="s">
        <v>78</v>
      </c>
      <c r="B21" s="5" t="s">
        <v>79</v>
      </c>
      <c r="C21" s="5" t="s">
        <v>80</v>
      </c>
      <c r="D21" s="5">
        <v>200</v>
      </c>
      <c r="E21" s="5">
        <v>10</v>
      </c>
      <c r="F21" s="5" t="s">
        <v>41</v>
      </c>
      <c r="G21" s="4"/>
      <c r="H21" s="14" t="str">
        <f t="shared" si="0"/>
        <v>Standard Price</v>
      </c>
      <c r="J21" s="25" t="str">
        <f t="shared" si="1"/>
        <v>14</v>
      </c>
      <c r="L21" s="12" t="str">
        <f t="shared" si="2"/>
        <v>US</v>
      </c>
      <c r="N21" s="26" t="str">
        <f t="shared" si="3"/>
        <v>AUG</v>
      </c>
    </row>
    <row r="22" spans="1:14" ht="15.75" customHeight="1" x14ac:dyDescent="0.2">
      <c r="A22" s="3" t="s">
        <v>81</v>
      </c>
      <c r="B22" s="3" t="s">
        <v>82</v>
      </c>
      <c r="C22" s="3" t="s">
        <v>83</v>
      </c>
      <c r="D22" s="3">
        <v>700</v>
      </c>
      <c r="E22" s="3">
        <v>50</v>
      </c>
      <c r="F22" s="3" t="s">
        <v>26</v>
      </c>
      <c r="G22" s="4"/>
      <c r="H22" s="14" t="str">
        <f t="shared" si="0"/>
        <v>High Price</v>
      </c>
      <c r="J22" s="25" t="str">
        <f t="shared" si="1"/>
        <v>14</v>
      </c>
      <c r="L22" s="12" t="str">
        <f t="shared" si="2"/>
        <v>RU</v>
      </c>
      <c r="N22" s="26" t="str">
        <f t="shared" si="3"/>
        <v>MAY</v>
      </c>
    </row>
    <row r="23" spans="1:14" ht="15.75" customHeight="1" x14ac:dyDescent="0.2">
      <c r="A23" s="5" t="s">
        <v>84</v>
      </c>
      <c r="B23" s="5" t="s">
        <v>85</v>
      </c>
      <c r="C23" s="5" t="s">
        <v>86</v>
      </c>
      <c r="D23" s="5">
        <v>80</v>
      </c>
      <c r="E23" s="5">
        <v>20</v>
      </c>
      <c r="F23" s="5" t="s">
        <v>34</v>
      </c>
      <c r="G23" s="4"/>
      <c r="H23" s="14" t="str">
        <f t="shared" si="0"/>
        <v>Standard Price</v>
      </c>
      <c r="J23" s="25" t="str">
        <f t="shared" si="1"/>
        <v>09</v>
      </c>
      <c r="L23" s="12" t="str">
        <f t="shared" si="2"/>
        <v>CA</v>
      </c>
      <c r="N23" s="26" t="str">
        <f t="shared" si="3"/>
        <v>JAN</v>
      </c>
    </row>
    <row r="24" spans="1:14" ht="15.75" customHeight="1" x14ac:dyDescent="0.2">
      <c r="A24" s="3" t="s">
        <v>87</v>
      </c>
      <c r="B24" s="3" t="s">
        <v>88</v>
      </c>
      <c r="C24" s="3" t="s">
        <v>89</v>
      </c>
      <c r="D24" s="3">
        <v>150</v>
      </c>
      <c r="E24" s="3">
        <v>30</v>
      </c>
      <c r="F24" s="3" t="s">
        <v>26</v>
      </c>
      <c r="G24" s="4"/>
      <c r="H24" s="14" t="str">
        <f t="shared" si="0"/>
        <v>Standard Price</v>
      </c>
      <c r="J24" s="25" t="str">
        <f t="shared" si="1"/>
        <v>19</v>
      </c>
      <c r="L24" s="12" t="str">
        <f t="shared" si="2"/>
        <v>BR</v>
      </c>
      <c r="N24" s="26" t="str">
        <f t="shared" si="3"/>
        <v>JUL</v>
      </c>
    </row>
    <row r="25" spans="1:14" ht="15.75" customHeight="1" x14ac:dyDescent="0.2">
      <c r="A25" s="5" t="s">
        <v>67</v>
      </c>
      <c r="B25" s="5" t="s">
        <v>68</v>
      </c>
      <c r="C25" s="5" t="s">
        <v>69</v>
      </c>
      <c r="D25" s="5">
        <v>50</v>
      </c>
      <c r="E25" s="5">
        <v>35</v>
      </c>
      <c r="F25" s="5" t="s">
        <v>70</v>
      </c>
      <c r="G25" s="6"/>
      <c r="H25" s="14" t="str">
        <f t="shared" si="0"/>
        <v>Standard Price</v>
      </c>
      <c r="J25" s="25" t="str">
        <f t="shared" si="1"/>
        <v>21</v>
      </c>
      <c r="L25" s="12" t="str">
        <f t="shared" si="2"/>
        <v>CA</v>
      </c>
      <c r="N25" s="26" t="str">
        <f t="shared" si="3"/>
        <v>AUG</v>
      </c>
    </row>
    <row r="26" spans="1:14" ht="15.75" customHeight="1" x14ac:dyDescent="0.2">
      <c r="A26" s="3" t="s">
        <v>90</v>
      </c>
      <c r="B26" s="3" t="s">
        <v>36</v>
      </c>
      <c r="C26" s="3" t="s">
        <v>91</v>
      </c>
      <c r="D26" s="3">
        <v>800</v>
      </c>
      <c r="E26" s="3">
        <v>45</v>
      </c>
      <c r="F26" s="3" t="s">
        <v>26</v>
      </c>
      <c r="G26" s="4"/>
      <c r="H26" s="14" t="str">
        <f t="shared" si="0"/>
        <v>High Price</v>
      </c>
      <c r="J26" s="25" t="str">
        <f t="shared" si="1"/>
        <v>29</v>
      </c>
      <c r="L26" s="12" t="str">
        <f t="shared" si="2"/>
        <v>CA</v>
      </c>
      <c r="N26" s="26" t="str">
        <f t="shared" si="3"/>
        <v>SEP</v>
      </c>
    </row>
    <row r="27" spans="1:14" ht="15.75" customHeight="1" x14ac:dyDescent="0.2">
      <c r="A27" s="5" t="s">
        <v>92</v>
      </c>
      <c r="B27" s="5" t="s">
        <v>76</v>
      </c>
      <c r="C27" s="5" t="s">
        <v>93</v>
      </c>
      <c r="D27" s="5">
        <v>130</v>
      </c>
      <c r="E27" s="5">
        <v>25</v>
      </c>
      <c r="F27" s="5" t="s">
        <v>30</v>
      </c>
      <c r="G27" s="4"/>
      <c r="H27" s="14" t="str">
        <f t="shared" si="0"/>
        <v>Standard Price</v>
      </c>
      <c r="J27" s="25" t="str">
        <f t="shared" si="1"/>
        <v>03</v>
      </c>
      <c r="L27" s="12" t="str">
        <f t="shared" si="2"/>
        <v>CA</v>
      </c>
      <c r="N27" s="26" t="str">
        <f t="shared" si="3"/>
        <v>JUN</v>
      </c>
    </row>
    <row r="28" spans="1:14" ht="15.75" customHeight="1" x14ac:dyDescent="0.2">
      <c r="A28" s="3" t="s">
        <v>94</v>
      </c>
      <c r="B28" s="3" t="s">
        <v>49</v>
      </c>
      <c r="C28" s="3" t="s">
        <v>95</v>
      </c>
      <c r="D28" s="3">
        <v>400</v>
      </c>
      <c r="E28" s="3">
        <v>40</v>
      </c>
      <c r="F28" s="3" t="s">
        <v>34</v>
      </c>
      <c r="G28" s="4"/>
      <c r="H28" s="14" t="str">
        <f t="shared" si="0"/>
        <v>Standard Price</v>
      </c>
      <c r="J28" s="25" t="str">
        <f t="shared" si="1"/>
        <v>11</v>
      </c>
      <c r="L28" s="12" t="str">
        <f t="shared" si="2"/>
        <v>CA</v>
      </c>
      <c r="N28" s="26" t="str">
        <f t="shared" si="3"/>
        <v>JUL</v>
      </c>
    </row>
    <row r="29" spans="1:14" ht="15.75" customHeight="1" x14ac:dyDescent="0.2">
      <c r="A29" s="5" t="s">
        <v>65</v>
      </c>
      <c r="B29" s="5" t="s">
        <v>43</v>
      </c>
      <c r="C29" s="5" t="s">
        <v>66</v>
      </c>
      <c r="D29" s="5">
        <v>230</v>
      </c>
      <c r="E29" s="5">
        <v>20</v>
      </c>
      <c r="F29" s="5" t="s">
        <v>26</v>
      </c>
      <c r="G29" s="6"/>
      <c r="H29" s="14" t="str">
        <f t="shared" si="0"/>
        <v>Standard Price</v>
      </c>
      <c r="J29" s="25" t="str">
        <f t="shared" si="1"/>
        <v>16</v>
      </c>
      <c r="L29" s="12" t="str">
        <f t="shared" si="2"/>
        <v>ES</v>
      </c>
      <c r="N29" s="26" t="str">
        <f t="shared" si="3"/>
        <v>APR</v>
      </c>
    </row>
    <row r="30" spans="1:14" ht="15.75" customHeight="1" x14ac:dyDescent="0.2">
      <c r="A30" s="3" t="s">
        <v>96</v>
      </c>
      <c r="B30" s="3" t="s">
        <v>97</v>
      </c>
      <c r="C30" s="3" t="s">
        <v>98</v>
      </c>
      <c r="D30" s="3">
        <v>60</v>
      </c>
      <c r="E30" s="3">
        <v>30</v>
      </c>
      <c r="F30" s="3" t="s">
        <v>30</v>
      </c>
      <c r="G30" s="4"/>
      <c r="H30" s="14" t="str">
        <f t="shared" si="0"/>
        <v>Standard Price</v>
      </c>
      <c r="J30" s="25" t="str">
        <f t="shared" si="1"/>
        <v>07</v>
      </c>
      <c r="L30" s="12" t="str">
        <f t="shared" si="2"/>
        <v>CA</v>
      </c>
      <c r="N30" s="26" t="str">
        <f t="shared" si="3"/>
        <v>MAR</v>
      </c>
    </row>
    <row r="31" spans="1:14" ht="15.75" customHeight="1" x14ac:dyDescent="0.2">
      <c r="A31" s="5" t="s">
        <v>99</v>
      </c>
      <c r="B31" s="5" t="s">
        <v>100</v>
      </c>
      <c r="C31" s="5" t="s">
        <v>101</v>
      </c>
      <c r="D31" s="5">
        <v>40</v>
      </c>
      <c r="E31" s="5">
        <v>10</v>
      </c>
      <c r="F31" s="5" t="s">
        <v>34</v>
      </c>
      <c r="G31" s="4"/>
      <c r="H31" s="14" t="str">
        <f t="shared" si="0"/>
        <v>Standard Price</v>
      </c>
      <c r="J31" s="25" t="str">
        <f t="shared" si="1"/>
        <v>13</v>
      </c>
      <c r="L31" s="12" t="str">
        <f t="shared" si="2"/>
        <v>CA</v>
      </c>
      <c r="N31" s="26" t="str">
        <f t="shared" si="3"/>
        <v>APR</v>
      </c>
    </row>
    <row r="32" spans="1:14" ht="15.75" customHeight="1" x14ac:dyDescent="0.2">
      <c r="A32" s="3" t="s">
        <v>102</v>
      </c>
      <c r="B32" s="3" t="s">
        <v>88</v>
      </c>
      <c r="C32" s="3" t="s">
        <v>103</v>
      </c>
      <c r="D32" s="3">
        <v>130</v>
      </c>
      <c r="E32" s="3">
        <v>5</v>
      </c>
      <c r="F32" s="3" t="s">
        <v>26</v>
      </c>
      <c r="G32" s="4"/>
      <c r="H32" s="14" t="str">
        <f t="shared" si="0"/>
        <v>Standard Price</v>
      </c>
      <c r="J32" s="25" t="str">
        <f t="shared" si="1"/>
        <v>24</v>
      </c>
      <c r="L32" s="12" t="str">
        <f t="shared" si="2"/>
        <v>CA</v>
      </c>
      <c r="N32" s="26" t="str">
        <f t="shared" si="3"/>
        <v>MAY</v>
      </c>
    </row>
    <row r="33" spans="1:14" ht="15.75" customHeight="1" x14ac:dyDescent="0.2">
      <c r="A33" s="5" t="s">
        <v>104</v>
      </c>
      <c r="B33" s="5" t="s">
        <v>105</v>
      </c>
      <c r="C33" s="5" t="s">
        <v>106</v>
      </c>
      <c r="D33" s="5">
        <v>50</v>
      </c>
      <c r="E33" s="5">
        <v>50</v>
      </c>
      <c r="F33" s="5" t="s">
        <v>30</v>
      </c>
      <c r="G33" s="4"/>
      <c r="H33" s="14" t="str">
        <f t="shared" si="0"/>
        <v>Standard Price</v>
      </c>
      <c r="J33" s="25" t="str">
        <f t="shared" si="1"/>
        <v>02</v>
      </c>
      <c r="L33" s="12" t="str">
        <f t="shared" si="2"/>
        <v>CA</v>
      </c>
      <c r="N33" s="26" t="str">
        <f t="shared" si="3"/>
        <v>DEC</v>
      </c>
    </row>
    <row r="34" spans="1:14" ht="15.75" customHeight="1" x14ac:dyDescent="0.2">
      <c r="A34" s="3" t="s">
        <v>57</v>
      </c>
      <c r="B34" s="3" t="s">
        <v>24</v>
      </c>
      <c r="C34" s="3" t="s">
        <v>58</v>
      </c>
      <c r="D34" s="3">
        <v>950</v>
      </c>
      <c r="E34" s="3">
        <v>25</v>
      </c>
      <c r="F34" s="3" t="s">
        <v>26</v>
      </c>
      <c r="G34" s="4"/>
      <c r="H34" s="14" t="str">
        <f t="shared" si="0"/>
        <v>High Price</v>
      </c>
      <c r="J34" s="25" t="str">
        <f t="shared" si="1"/>
        <v>17</v>
      </c>
      <c r="L34" s="12" t="str">
        <f t="shared" si="2"/>
        <v>IN</v>
      </c>
      <c r="N34" s="26" t="str">
        <f t="shared" si="3"/>
        <v>JUN</v>
      </c>
    </row>
    <row r="35" spans="1:14" ht="15.75" customHeight="1" x14ac:dyDescent="0.2">
      <c r="A35" s="5" t="s">
        <v>107</v>
      </c>
      <c r="B35" s="5" t="s">
        <v>108</v>
      </c>
      <c r="C35" s="5" t="s">
        <v>109</v>
      </c>
      <c r="D35" s="5">
        <v>100</v>
      </c>
      <c r="E35" s="5">
        <v>20</v>
      </c>
      <c r="F35" s="5" t="s">
        <v>70</v>
      </c>
      <c r="G35" s="4"/>
      <c r="H35" s="14" t="str">
        <f t="shared" si="0"/>
        <v>Standard Price</v>
      </c>
      <c r="J35" s="25" t="str">
        <f t="shared" si="1"/>
        <v>09</v>
      </c>
      <c r="L35" s="12" t="str">
        <f t="shared" si="2"/>
        <v>FR</v>
      </c>
      <c r="N35" s="26" t="str">
        <f t="shared" si="3"/>
        <v>JUL</v>
      </c>
    </row>
    <row r="36" spans="1:14" ht="15.75" customHeight="1" x14ac:dyDescent="0.2"/>
    <row r="37" spans="1:14" ht="15.75" customHeight="1" x14ac:dyDescent="0.2"/>
    <row r="38" spans="1:14" s="20" customFormat="1" ht="15.75" customHeight="1" x14ac:dyDescent="0.2">
      <c r="A38" s="19" t="s">
        <v>110</v>
      </c>
      <c r="C38" s="21" t="s">
        <v>130</v>
      </c>
      <c r="D38" s="22">
        <f>SUM(D2:D35)</f>
        <v>10100</v>
      </c>
    </row>
    <row r="39" spans="1:14" ht="15.75" customHeight="1" x14ac:dyDescent="0.2"/>
    <row r="40" spans="1:14" ht="15.75" customHeight="1" x14ac:dyDescent="0.2">
      <c r="A40" s="8" t="s">
        <v>111</v>
      </c>
      <c r="C40" s="9" t="s">
        <v>129</v>
      </c>
      <c r="D40" s="10">
        <f>COUNTA(B2:B35)</f>
        <v>34</v>
      </c>
      <c r="G40" s="28"/>
    </row>
    <row r="41" spans="1:14" ht="15.75" customHeight="1" x14ac:dyDescent="0.2"/>
    <row r="42" spans="1:14" ht="15.75" customHeight="1" x14ac:dyDescent="0.2">
      <c r="A42" s="8" t="s">
        <v>112</v>
      </c>
      <c r="C42" s="11" t="s">
        <v>128</v>
      </c>
      <c r="D42" s="12">
        <f>AVERAGE(D2:D35)</f>
        <v>297.05882352941177</v>
      </c>
    </row>
    <row r="43" spans="1:14" ht="15.75" customHeight="1" x14ac:dyDescent="0.2"/>
    <row r="44" spans="1:14" ht="15.75" customHeight="1" x14ac:dyDescent="0.2"/>
    <row r="45" spans="1:14" ht="15.75" customHeight="1" x14ac:dyDescent="0.2">
      <c r="A45" t="s">
        <v>113</v>
      </c>
      <c r="C45" s="11" t="s">
        <v>127</v>
      </c>
      <c r="D45" s="12">
        <f>MIN(D2:D35)</f>
        <v>30</v>
      </c>
    </row>
    <row r="46" spans="1:14" ht="15.75" customHeight="1" x14ac:dyDescent="0.2"/>
    <row r="47" spans="1:14" ht="15.75" customHeight="1" x14ac:dyDescent="0.2">
      <c r="A47" s="8" t="s">
        <v>114</v>
      </c>
      <c r="C47" s="11" t="s">
        <v>126</v>
      </c>
      <c r="D47" s="12">
        <f>MAX(D2:D35)</f>
        <v>1000</v>
      </c>
    </row>
    <row r="48" spans="1:14" ht="15.75" customHeight="1" x14ac:dyDescent="0.2"/>
    <row r="49" spans="1:4" ht="15.75" customHeight="1" x14ac:dyDescent="0.2"/>
    <row r="50" spans="1:4" ht="15.75" customHeight="1" x14ac:dyDescent="0.2">
      <c r="A50" s="19" t="s">
        <v>115</v>
      </c>
      <c r="C50" s="23" t="s">
        <v>124</v>
      </c>
      <c r="D50" s="24">
        <f>SUMIF(F2:F35,"Electronics",D2:D35)</f>
        <v>8050</v>
      </c>
    </row>
    <row r="51" spans="1:4" ht="15.75" customHeight="1" x14ac:dyDescent="0.2">
      <c r="C51" s="8"/>
      <c r="D51" s="13"/>
    </row>
    <row r="52" spans="1:4" ht="15.75" customHeight="1" x14ac:dyDescent="0.2">
      <c r="A52" s="19" t="s">
        <v>116</v>
      </c>
      <c r="C52" s="23" t="s">
        <v>125</v>
      </c>
      <c r="D52" s="24">
        <f>COUNTIF(D2:D35,"&lt;100")</f>
        <v>11</v>
      </c>
    </row>
    <row r="53" spans="1:4" ht="15.75" customHeight="1" x14ac:dyDescent="0.2"/>
    <row r="54" spans="1:4" ht="15.75" customHeight="1" x14ac:dyDescent="0.2"/>
    <row r="55" spans="1:4" ht="15.75" customHeight="1" x14ac:dyDescent="0.2"/>
    <row r="56" spans="1:4" ht="15.75" customHeight="1" x14ac:dyDescent="0.2"/>
    <row r="57" spans="1:4" ht="15.75" customHeight="1" x14ac:dyDescent="0.2"/>
    <row r="58" spans="1:4" ht="15.75" customHeight="1" x14ac:dyDescent="0.2"/>
    <row r="59" spans="1:4" ht="15.75" customHeight="1" x14ac:dyDescent="0.2"/>
    <row r="60" spans="1:4" ht="15.75" customHeight="1" x14ac:dyDescent="0.2"/>
    <row r="61" spans="1:4" ht="15.75" customHeight="1" x14ac:dyDescent="0.2"/>
    <row r="62" spans="1:4" ht="15.75" customHeight="1" x14ac:dyDescent="0.2"/>
    <row r="63" spans="1:4" ht="15.75" customHeight="1" x14ac:dyDescent="0.2"/>
    <row r="64" spans="1: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2025-10-01T11:15:30Z</dcterms:modified>
</cp:coreProperties>
</file>